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HT439BE\Downloads\"/>
    </mc:Choice>
  </mc:AlternateContent>
  <xr:revisionPtr revIDLastSave="0" documentId="8_{9468E081-D3E1-4738-8C01-8AE94716CBD6}" xr6:coauthVersionLast="47" xr6:coauthVersionMax="47" xr10:uidLastSave="{00000000-0000-0000-0000-000000000000}"/>
  <bookViews>
    <workbookView xWindow="-110" yWindow="-110" windowWidth="19420" windowHeight="11500" activeTab="2" xr2:uid="{00000000-000D-0000-FFFF-FFFF00000000}"/>
  </bookViews>
  <sheets>
    <sheet name="Exercises" sheetId="1" r:id="rId1"/>
    <sheet name="Solver data" sheetId="5" r:id="rId2"/>
    <sheet name="Scenario Manager" sheetId="6" r:id="rId3"/>
    <sheet name="Sheet1" sheetId="7" r:id="rId4"/>
    <sheet name="penguins" sheetId="3" r:id="rId5"/>
    <sheet name="Mushrooms" sheetId="2" r:id="rId6"/>
  </sheets>
  <definedNames>
    <definedName name="Shipments">'Solver data'!$C$3:$E$5</definedName>
    <definedName name="Slicer_year">#N/A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data'!$C$13:$E$13</definedName>
    <definedName name="solver_lhs2"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2</definedName>
    <definedName name="solver_rel2" localSheetId="1" hidden="1">1</definedName>
    <definedName name="solver_rhs1" localSheetId="1" hidden="1">'Solver data'!$C$15:$E$15</definedName>
    <definedName name="solver_rhs2" localSheetId="1" hidden="1">'Solver data'!$I$3:$I$5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UnitCost">'Solver data'!$C$8:$E$10</definedName>
  </definedNames>
  <calcPr calcId="191029"/>
  <pivotCaches>
    <pivotCache cacheId="6"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<sst xmlns="http://schemas.openxmlformats.org/spreadsheetml/2006/main" count="187977" uniqueCount="114">
  <si>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</si>
  <si>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</si>
  <si>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</si>
  <si>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</si>
  <si>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</si>
  <si>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</si>
  <si>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</si>
  <si>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</si>
  <si>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</si>
  <si>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</si>
  <si>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</si>
  <si>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</si>
  <si>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</si>
  <si>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</si>
  <si>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</si>
  <si>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</si>
  <si>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</si>
  <si>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</si>
  <si>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</si>
  <si>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</si>
  <si>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</si>
  <si>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</si>
  <si>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</si>
  <si>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</si>
  <si>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</si>
  <si>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</si>
  <si>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</si>
  <si>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</si>
  <si>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</si>
  <si>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</si>
  <si>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</si>
  <si>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</si>
  <si>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</si>
  <si>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</si>
  <si>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</si>
  <si>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</si>
  <si>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</si>
  <si>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</si>
  <si>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</si>
  <si>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</si>
  <si>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</si>
  <si>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</si>
  <si>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</si>
  <si>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</si>
  <si>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</si>
  <si>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</si>
  <si>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</si>
  <si>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</si>
  <si>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</si>
  <si>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</si>
  <si>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</si>
  <si>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</si>
  <si>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</si>
  <si>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</si>
  <si>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</si>
  <si>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</si>
  <si>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</si>
  <si>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</si>
  <si>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</si>
  <si>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</si>
  <si>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</si>
  <si>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</si>
  <si>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</si>
  <si>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</si>
  <si>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</si>
  <si>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</si>
  <si>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</si>
  <si>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</si>
  <si>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</si>
  <si>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</si>
  <si>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</si>
  <si>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</si>
  <si>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</si>
  <si>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</si>
  <si>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</si>
  <si>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</si>
  <si>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</si>
  <si>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</si>
  <si>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</si>
  <si>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</si>
  <si>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</si>
  <si>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</si>
  <si>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</si>
  <si>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</si>
  <si>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</si>
  <si>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</si>
  <si>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</si>
  <si>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</si>
  <si>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</si>
  <si>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</si>
  <si>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</si>
  <si>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</si>
  <si>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</si>
  <si>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</si>
  <si>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</si>
  <si>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</si>
  <si>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</si>
  <si>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</si>
  <si>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</si>
  <si>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</si>
  <si>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</si>
  <si>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</si>
  <si>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</si>
  <si>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</si>
  <si>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</si>
  <si>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</si>
  <si>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</si>
  <si>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</si>
  <si>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</si>
  <si>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</si>
  <si>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</si>
  <si>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Average of body_mass_g</t>
  </si>
  <si>
    <t>Column Labels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</si>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</sst>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39997558519241921"/>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36">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0"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pivotButton="1"/>
    <xf numFmtId="0" fontId="0" fillId="0" borderId="0" xfId="0" applyAlignment="1">
      <alignment horizontal="left"/>
    </xf>
    <xf numFmtId="0" fontId="0" fillId="0" borderId="0" xfId="0" applyNumberFormat="1"/>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Drop" dropStyle="combo" dx="31" noThreeD="1" sel="0" val="0"/>
</file>

<file path=xl/drawings/drawing1.xml><?xml version="1.0" encoding="utf-8"?>
<xdr:wsDr xmlns:xdr="http://schemas.openxmlformats.org/drawingml/2006/spreadsheetDrawing" xmlns:a="http://schemas.openxmlformats.org/drawingml/2006/main">
  <xdr:twoCellAnchor editAs="oneCell">
    <xdr:from>
      <xdr:col>5</xdr:col>
      <xdr:colOff>546100</xdr:colOff>
      <xdr:row>0</xdr:row>
      <xdr:rowOff>88900</xdr:rowOff>
    </xdr:from>
    <xdr:to>
      <xdr:col>8</xdr:col>
      <xdr:colOff>546100</xdr:colOff>
      <xdr:row>14</xdr:row>
      <xdr:rowOff>34925</xdr:rowOff>
    </xdr:to>
    <mc:AlternateContent xmlns:mc="http://schemas.openxmlformats.org/markup-compatibility/2006">
      <mc:Choice xmlns:a14="http://schemas.microsoft.com/office/drawing/2010/main" Requires="a14">
        <xdr:graphicFrame macro="">
          <xdr:nvGraphicFramePr>
            <xdr:cNvPr id="2" name="year">
              <a:extLst>
                <a:ext uri="{FF2B5EF4-FFF2-40B4-BE49-F238E27FC236}">
                  <a16:creationId xmlns:a16="http://schemas.microsoft.com/office/drawing/2014/main" id="{FC418F4E-D4A0-C3F9-1E10-54E89467C3B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5397500" y="889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158750</xdr:colOff>
          <xdr:row>1</xdr:row>
          <xdr:rowOff>57150</xdr:rowOff>
        </xdr:from>
        <xdr:to>
          <xdr:col>26</xdr:col>
          <xdr:colOff>95250</xdr:colOff>
          <xdr:row>3</xdr:row>
          <xdr:rowOff>139700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a Portillo De Muller" refreshedDate="45918.62687291667" createdVersion="8" refreshedVersion="8" minRefreshableVersion="3" recordCount="333" xr:uid="{622CA351-620E-49FF-92BF-8A27DAB8F313}">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2051307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x v="0"/>
    <x v="0"/>
  </r>
  <r>
    <n v="2"/>
    <x v="0"/>
    <x v="0"/>
    <n v="39.5"/>
    <n v="17.399999999999999"/>
    <n v="186"/>
    <n v="3800"/>
    <x v="1"/>
    <x v="0"/>
  </r>
  <r>
    <n v="3"/>
    <x v="0"/>
    <x v="0"/>
    <n v="40.299999999999997"/>
    <n v="18"/>
    <n v="195"/>
    <n v="3250"/>
    <x v="1"/>
    <x v="0"/>
  </r>
  <r>
    <n v="5"/>
    <x v="0"/>
    <x v="0"/>
    <n v="36.700000000000003"/>
    <n v="19.3"/>
    <n v="193"/>
    <n v="3450"/>
    <x v="1"/>
    <x v="0"/>
  </r>
  <r>
    <n v="6"/>
    <x v="0"/>
    <x v="0"/>
    <n v="39.299999999999997"/>
    <n v="20.6"/>
    <n v="190"/>
    <n v="3650"/>
    <x v="0"/>
    <x v="0"/>
  </r>
  <r>
    <n v="7"/>
    <x v="0"/>
    <x v="0"/>
    <n v="38.9"/>
    <n v="17.8"/>
    <n v="181"/>
    <n v="3625"/>
    <x v="1"/>
    <x v="0"/>
  </r>
  <r>
    <n v="8"/>
    <x v="0"/>
    <x v="0"/>
    <n v="39.200000000000003"/>
    <n v="19.600000000000001"/>
    <n v="195"/>
    <n v="4675"/>
    <x v="0"/>
    <x v="0"/>
  </r>
  <r>
    <n v="13"/>
    <x v="0"/>
    <x v="0"/>
    <n v="41.1"/>
    <n v="17.600000000000001"/>
    <n v="182"/>
    <n v="3200"/>
    <x v="1"/>
    <x v="0"/>
  </r>
  <r>
    <n v="14"/>
    <x v="0"/>
    <x v="0"/>
    <n v="38.6"/>
    <n v="21.2"/>
    <n v="191"/>
    <n v="3800"/>
    <x v="0"/>
    <x v="0"/>
  </r>
  <r>
    <n v="15"/>
    <x v="0"/>
    <x v="0"/>
    <n v="34.6"/>
    <n v="21.1"/>
    <n v="198"/>
    <n v="4400"/>
    <x v="0"/>
    <x v="0"/>
  </r>
  <r>
    <n v="16"/>
    <x v="0"/>
    <x v="0"/>
    <n v="36.6"/>
    <n v="17.8"/>
    <n v="185"/>
    <n v="3700"/>
    <x v="1"/>
    <x v="0"/>
  </r>
  <r>
    <n v="17"/>
    <x v="0"/>
    <x v="0"/>
    <n v="38.700000000000003"/>
    <n v="19"/>
    <n v="195"/>
    <n v="3450"/>
    <x v="1"/>
    <x v="0"/>
  </r>
  <r>
    <n v="18"/>
    <x v="0"/>
    <x v="0"/>
    <n v="42.5"/>
    <n v="20.7"/>
    <n v="197"/>
    <n v="4500"/>
    <x v="0"/>
    <x v="0"/>
  </r>
  <r>
    <n v="19"/>
    <x v="0"/>
    <x v="0"/>
    <n v="34.4"/>
    <n v="18.399999999999999"/>
    <n v="184"/>
    <n v="3325"/>
    <x v="1"/>
    <x v="0"/>
  </r>
  <r>
    <n v="20"/>
    <x v="0"/>
    <x v="0"/>
    <n v="46"/>
    <n v="21.5"/>
    <n v="194"/>
    <n v="4200"/>
    <x v="0"/>
    <x v="0"/>
  </r>
  <r>
    <n v="21"/>
    <x v="0"/>
    <x v="1"/>
    <n v="37.799999999999997"/>
    <n v="18.3"/>
    <n v="174"/>
    <n v="3400"/>
    <x v="1"/>
    <x v="0"/>
  </r>
  <r>
    <n v="22"/>
    <x v="0"/>
    <x v="1"/>
    <n v="37.700000000000003"/>
    <n v="18.7"/>
    <n v="180"/>
    <n v="3600"/>
    <x v="0"/>
    <x v="0"/>
  </r>
  <r>
    <n v="23"/>
    <x v="0"/>
    <x v="1"/>
    <n v="35.9"/>
    <n v="19.2"/>
    <n v="189"/>
    <n v="3800"/>
    <x v="1"/>
    <x v="0"/>
  </r>
  <r>
    <n v="24"/>
    <x v="0"/>
    <x v="1"/>
    <n v="38.200000000000003"/>
    <n v="18.100000000000001"/>
    <n v="185"/>
    <n v="3950"/>
    <x v="0"/>
    <x v="0"/>
  </r>
  <r>
    <n v="25"/>
    <x v="0"/>
    <x v="1"/>
    <n v="38.799999999999997"/>
    <n v="17.2"/>
    <n v="180"/>
    <n v="3800"/>
    <x v="0"/>
    <x v="0"/>
  </r>
  <r>
    <n v="26"/>
    <x v="0"/>
    <x v="1"/>
    <n v="35.299999999999997"/>
    <n v="18.899999999999999"/>
    <n v="187"/>
    <n v="3800"/>
    <x v="1"/>
    <x v="0"/>
  </r>
  <r>
    <n v="27"/>
    <x v="0"/>
    <x v="1"/>
    <n v="40.6"/>
    <n v="18.600000000000001"/>
    <n v="183"/>
    <n v="3550"/>
    <x v="0"/>
    <x v="0"/>
  </r>
  <r>
    <n v="28"/>
    <x v="0"/>
    <x v="1"/>
    <n v="40.5"/>
    <n v="17.899999999999999"/>
    <n v="187"/>
    <n v="3200"/>
    <x v="1"/>
    <x v="0"/>
  </r>
  <r>
    <n v="29"/>
    <x v="0"/>
    <x v="1"/>
    <n v="37.9"/>
    <n v="18.600000000000001"/>
    <n v="172"/>
    <n v="3150"/>
    <x v="1"/>
    <x v="0"/>
  </r>
  <r>
    <n v="30"/>
    <x v="0"/>
    <x v="1"/>
    <n v="40.5"/>
    <n v="18.899999999999999"/>
    <n v="180"/>
    <n v="3950"/>
    <x v="0"/>
    <x v="0"/>
  </r>
  <r>
    <n v="31"/>
    <x v="0"/>
    <x v="2"/>
    <n v="39.5"/>
    <n v="16.7"/>
    <n v="178"/>
    <n v="3250"/>
    <x v="1"/>
    <x v="0"/>
  </r>
  <r>
    <n v="32"/>
    <x v="0"/>
    <x v="2"/>
    <n v="37.200000000000003"/>
    <n v="18.100000000000001"/>
    <n v="178"/>
    <n v="3900"/>
    <x v="0"/>
    <x v="0"/>
  </r>
  <r>
    <n v="33"/>
    <x v="0"/>
    <x v="2"/>
    <n v="39.5"/>
    <n v="17.8"/>
    <n v="188"/>
    <n v="3300"/>
    <x v="1"/>
    <x v="0"/>
  </r>
  <r>
    <n v="34"/>
    <x v="0"/>
    <x v="2"/>
    <n v="40.9"/>
    <n v="18.899999999999999"/>
    <n v="184"/>
    <n v="3900"/>
    <x v="0"/>
    <x v="0"/>
  </r>
  <r>
    <n v="35"/>
    <x v="0"/>
    <x v="2"/>
    <n v="36.4"/>
    <n v="17"/>
    <n v="195"/>
    <n v="3325"/>
    <x v="1"/>
    <x v="0"/>
  </r>
  <r>
    <n v="36"/>
    <x v="0"/>
    <x v="2"/>
    <n v="39.200000000000003"/>
    <n v="21.1"/>
    <n v="196"/>
    <n v="4150"/>
    <x v="0"/>
    <x v="0"/>
  </r>
  <r>
    <n v="37"/>
    <x v="0"/>
    <x v="2"/>
    <n v="38.799999999999997"/>
    <n v="20"/>
    <n v="190"/>
    <n v="3950"/>
    <x v="0"/>
    <x v="0"/>
  </r>
  <r>
    <n v="38"/>
    <x v="0"/>
    <x v="2"/>
    <n v="42.2"/>
    <n v="18.5"/>
    <n v="180"/>
    <n v="3550"/>
    <x v="1"/>
    <x v="0"/>
  </r>
  <r>
    <n v="39"/>
    <x v="0"/>
    <x v="2"/>
    <n v="37.6"/>
    <n v="19.3"/>
    <n v="181"/>
    <n v="3300"/>
    <x v="1"/>
    <x v="0"/>
  </r>
  <r>
    <n v="40"/>
    <x v="0"/>
    <x v="2"/>
    <n v="39.799999999999997"/>
    <n v="19.100000000000001"/>
    <n v="184"/>
    <n v="4650"/>
    <x v="0"/>
    <x v="0"/>
  </r>
  <r>
    <n v="41"/>
    <x v="0"/>
    <x v="2"/>
    <n v="36.5"/>
    <n v="18"/>
    <n v="182"/>
    <n v="3150"/>
    <x v="1"/>
    <x v="0"/>
  </r>
  <r>
    <n v="42"/>
    <x v="0"/>
    <x v="2"/>
    <n v="40.799999999999997"/>
    <n v="18.399999999999999"/>
    <n v="195"/>
    <n v="3900"/>
    <x v="0"/>
    <x v="0"/>
  </r>
  <r>
    <n v="43"/>
    <x v="0"/>
    <x v="2"/>
    <n v="36"/>
    <n v="18.5"/>
    <n v="186"/>
    <n v="3100"/>
    <x v="1"/>
    <x v="0"/>
  </r>
  <r>
    <n v="44"/>
    <x v="0"/>
    <x v="2"/>
    <n v="44.1"/>
    <n v="19.7"/>
    <n v="196"/>
    <n v="4400"/>
    <x v="0"/>
    <x v="0"/>
  </r>
  <r>
    <n v="45"/>
    <x v="0"/>
    <x v="2"/>
    <n v="37"/>
    <n v="16.899999999999999"/>
    <n v="185"/>
    <n v="3000"/>
    <x v="1"/>
    <x v="0"/>
  </r>
  <r>
    <n v="46"/>
    <x v="0"/>
    <x v="2"/>
    <n v="39.6"/>
    <n v="18.8"/>
    <n v="190"/>
    <n v="4600"/>
    <x v="0"/>
    <x v="0"/>
  </r>
  <r>
    <n v="47"/>
    <x v="0"/>
    <x v="2"/>
    <n v="41.1"/>
    <n v="19"/>
    <n v="182"/>
    <n v="3425"/>
    <x v="0"/>
    <x v="0"/>
  </r>
  <r>
    <n v="49"/>
    <x v="0"/>
    <x v="2"/>
    <n v="36"/>
    <n v="17.899999999999999"/>
    <n v="190"/>
    <n v="3450"/>
    <x v="1"/>
    <x v="0"/>
  </r>
  <r>
    <n v="50"/>
    <x v="0"/>
    <x v="2"/>
    <n v="42.3"/>
    <n v="21.2"/>
    <n v="191"/>
    <n v="4150"/>
    <x v="0"/>
    <x v="0"/>
  </r>
  <r>
    <n v="51"/>
    <x v="0"/>
    <x v="1"/>
    <n v="39.6"/>
    <n v="17.7"/>
    <n v="186"/>
    <n v="3500"/>
    <x v="1"/>
    <x v="1"/>
  </r>
  <r>
    <n v="52"/>
    <x v="0"/>
    <x v="1"/>
    <n v="40.1"/>
    <n v="18.899999999999999"/>
    <n v="188"/>
    <n v="4300"/>
    <x v="0"/>
    <x v="1"/>
  </r>
  <r>
    <n v="53"/>
    <x v="0"/>
    <x v="1"/>
    <n v="35"/>
    <n v="17.899999999999999"/>
    <n v="190"/>
    <n v="3450"/>
    <x v="1"/>
    <x v="1"/>
  </r>
  <r>
    <n v="54"/>
    <x v="0"/>
    <x v="1"/>
    <n v="42"/>
    <n v="19.5"/>
    <n v="200"/>
    <n v="4050"/>
    <x v="0"/>
    <x v="1"/>
  </r>
  <r>
    <n v="55"/>
    <x v="0"/>
    <x v="1"/>
    <n v="34.5"/>
    <n v="18.100000000000001"/>
    <n v="187"/>
    <n v="2900"/>
    <x v="1"/>
    <x v="1"/>
  </r>
  <r>
    <n v="56"/>
    <x v="0"/>
    <x v="1"/>
    <n v="41.4"/>
    <n v="18.600000000000001"/>
    <n v="191"/>
    <n v="3700"/>
    <x v="0"/>
    <x v="1"/>
  </r>
  <r>
    <n v="57"/>
    <x v="0"/>
    <x v="1"/>
    <n v="39"/>
    <n v="17.5"/>
    <n v="186"/>
    <n v="3550"/>
    <x v="1"/>
    <x v="1"/>
  </r>
  <r>
    <n v="58"/>
    <x v="0"/>
    <x v="1"/>
    <n v="40.6"/>
    <n v="18.8"/>
    <n v="193"/>
    <n v="3800"/>
    <x v="0"/>
    <x v="1"/>
  </r>
  <r>
    <n v="59"/>
    <x v="0"/>
    <x v="1"/>
    <n v="36.5"/>
    <n v="16.600000000000001"/>
    <n v="181"/>
    <n v="2850"/>
    <x v="1"/>
    <x v="1"/>
  </r>
  <r>
    <n v="60"/>
    <x v="0"/>
    <x v="1"/>
    <n v="37.6"/>
    <n v="19.100000000000001"/>
    <n v="194"/>
    <n v="3750"/>
    <x v="0"/>
    <x v="1"/>
  </r>
  <r>
    <n v="61"/>
    <x v="0"/>
    <x v="1"/>
    <n v="35.700000000000003"/>
    <n v="16.899999999999999"/>
    <n v="185"/>
    <n v="3150"/>
    <x v="1"/>
    <x v="1"/>
  </r>
  <r>
    <n v="62"/>
    <x v="0"/>
    <x v="1"/>
    <n v="41.3"/>
    <n v="21.1"/>
    <n v="195"/>
    <n v="4400"/>
    <x v="0"/>
    <x v="1"/>
  </r>
  <r>
    <n v="63"/>
    <x v="0"/>
    <x v="1"/>
    <n v="37.6"/>
    <n v="17"/>
    <n v="185"/>
    <n v="3600"/>
    <x v="1"/>
    <x v="1"/>
  </r>
  <r>
    <n v="64"/>
    <x v="0"/>
    <x v="1"/>
    <n v="41.1"/>
    <n v="18.2"/>
    <n v="192"/>
    <n v="4050"/>
    <x v="0"/>
    <x v="1"/>
  </r>
  <r>
    <n v="65"/>
    <x v="0"/>
    <x v="1"/>
    <n v="36.4"/>
    <n v="17.100000000000001"/>
    <n v="184"/>
    <n v="2850"/>
    <x v="1"/>
    <x v="1"/>
  </r>
  <r>
    <n v="66"/>
    <x v="0"/>
    <x v="1"/>
    <n v="41.6"/>
    <n v="18"/>
    <n v="192"/>
    <n v="3950"/>
    <x v="0"/>
    <x v="1"/>
  </r>
  <r>
    <n v="67"/>
    <x v="0"/>
    <x v="1"/>
    <n v="35.5"/>
    <n v="16.2"/>
    <n v="195"/>
    <n v="3350"/>
    <x v="1"/>
    <x v="1"/>
  </r>
  <r>
    <n v="68"/>
    <x v="0"/>
    <x v="1"/>
    <n v="41.1"/>
    <n v="19.100000000000001"/>
    <n v="188"/>
    <n v="4100"/>
    <x v="0"/>
    <x v="1"/>
  </r>
  <r>
    <n v="69"/>
    <x v="0"/>
    <x v="0"/>
    <n v="35.9"/>
    <n v="16.600000000000001"/>
    <n v="190"/>
    <n v="3050"/>
    <x v="1"/>
    <x v="1"/>
  </r>
  <r>
    <n v="70"/>
    <x v="0"/>
    <x v="0"/>
    <n v="41.8"/>
    <n v="19.399999999999999"/>
    <n v="198"/>
    <n v="4450"/>
    <x v="0"/>
    <x v="1"/>
  </r>
  <r>
    <n v="71"/>
    <x v="0"/>
    <x v="0"/>
    <n v="33.5"/>
    <n v="19"/>
    <n v="190"/>
    <n v="3600"/>
    <x v="1"/>
    <x v="1"/>
  </r>
  <r>
    <n v="72"/>
    <x v="0"/>
    <x v="0"/>
    <n v="39.700000000000003"/>
    <n v="18.399999999999999"/>
    <n v="190"/>
    <n v="3900"/>
    <x v="0"/>
    <x v="1"/>
  </r>
  <r>
    <n v="73"/>
    <x v="0"/>
    <x v="0"/>
    <n v="39.6"/>
    <n v="17.2"/>
    <n v="196"/>
    <n v="3550"/>
    <x v="1"/>
    <x v="1"/>
  </r>
  <r>
    <n v="74"/>
    <x v="0"/>
    <x v="0"/>
    <n v="45.8"/>
    <n v="18.899999999999999"/>
    <n v="197"/>
    <n v="4150"/>
    <x v="0"/>
    <x v="1"/>
  </r>
  <r>
    <n v="75"/>
    <x v="0"/>
    <x v="0"/>
    <n v="35.5"/>
    <n v="17.5"/>
    <n v="190"/>
    <n v="3700"/>
    <x v="1"/>
    <x v="1"/>
  </r>
  <r>
    <n v="76"/>
    <x v="0"/>
    <x v="0"/>
    <n v="42.8"/>
    <n v="18.5"/>
    <n v="195"/>
    <n v="4250"/>
    <x v="0"/>
    <x v="1"/>
  </r>
  <r>
    <n v="77"/>
    <x v="0"/>
    <x v="0"/>
    <n v="40.9"/>
    <n v="16.8"/>
    <n v="191"/>
    <n v="3700"/>
    <x v="1"/>
    <x v="1"/>
  </r>
  <r>
    <n v="78"/>
    <x v="0"/>
    <x v="0"/>
    <n v="37.200000000000003"/>
    <n v="19.399999999999999"/>
    <n v="184"/>
    <n v="3900"/>
    <x v="0"/>
    <x v="1"/>
  </r>
  <r>
    <n v="79"/>
    <x v="0"/>
    <x v="0"/>
    <n v="36.200000000000003"/>
    <n v="16.100000000000001"/>
    <n v="187"/>
    <n v="3550"/>
    <x v="1"/>
    <x v="1"/>
  </r>
  <r>
    <n v="80"/>
    <x v="0"/>
    <x v="0"/>
    <n v="42.1"/>
    <n v="19.100000000000001"/>
    <n v="195"/>
    <n v="4000"/>
    <x v="0"/>
    <x v="1"/>
  </r>
  <r>
    <n v="81"/>
    <x v="0"/>
    <x v="0"/>
    <n v="34.6"/>
    <n v="17.2"/>
    <n v="189"/>
    <n v="3200"/>
    <x v="1"/>
    <x v="1"/>
  </r>
  <r>
    <n v="82"/>
    <x v="0"/>
    <x v="0"/>
    <n v="42.9"/>
    <n v="17.600000000000001"/>
    <n v="196"/>
    <n v="4700"/>
    <x v="0"/>
    <x v="1"/>
  </r>
  <r>
    <n v="83"/>
    <x v="0"/>
    <x v="0"/>
    <n v="36.700000000000003"/>
    <n v="18.8"/>
    <n v="187"/>
    <n v="3800"/>
    <x v="1"/>
    <x v="1"/>
  </r>
  <r>
    <n v="84"/>
    <x v="0"/>
    <x v="0"/>
    <n v="35.1"/>
    <n v="19.399999999999999"/>
    <n v="193"/>
    <n v="4200"/>
    <x v="0"/>
    <x v="1"/>
  </r>
  <r>
    <n v="85"/>
    <x v="0"/>
    <x v="2"/>
    <n v="37.299999999999997"/>
    <n v="17.8"/>
    <n v="191"/>
    <n v="3350"/>
    <x v="1"/>
    <x v="1"/>
  </r>
  <r>
    <n v="86"/>
    <x v="0"/>
    <x v="2"/>
    <n v="41.3"/>
    <n v="20.3"/>
    <n v="194"/>
    <n v="3550"/>
    <x v="0"/>
    <x v="1"/>
  </r>
  <r>
    <n v="87"/>
    <x v="0"/>
    <x v="2"/>
    <n v="36.299999999999997"/>
    <n v="19.5"/>
    <n v="190"/>
    <n v="3800"/>
    <x v="0"/>
    <x v="1"/>
  </r>
  <r>
    <n v="88"/>
    <x v="0"/>
    <x v="2"/>
    <n v="36.9"/>
    <n v="18.600000000000001"/>
    <n v="189"/>
    <n v="3500"/>
    <x v="1"/>
    <x v="1"/>
  </r>
  <r>
    <n v="89"/>
    <x v="0"/>
    <x v="2"/>
    <n v="38.299999999999997"/>
    <n v="19.2"/>
    <n v="189"/>
    <n v="3950"/>
    <x v="0"/>
    <x v="1"/>
  </r>
  <r>
    <n v="90"/>
    <x v="0"/>
    <x v="2"/>
    <n v="38.9"/>
    <n v="18.8"/>
    <n v="190"/>
    <n v="3600"/>
    <x v="1"/>
    <x v="1"/>
  </r>
  <r>
    <n v="91"/>
    <x v="0"/>
    <x v="2"/>
    <n v="35.700000000000003"/>
    <n v="18"/>
    <n v="202"/>
    <n v="3550"/>
    <x v="1"/>
    <x v="1"/>
  </r>
  <r>
    <n v="92"/>
    <x v="0"/>
    <x v="2"/>
    <n v="41.1"/>
    <n v="18.100000000000001"/>
    <n v="205"/>
    <n v="4300"/>
    <x v="0"/>
    <x v="1"/>
  </r>
  <r>
    <n v="93"/>
    <x v="0"/>
    <x v="2"/>
    <n v="34"/>
    <n v="17.100000000000001"/>
    <n v="185"/>
    <n v="3400"/>
    <x v="1"/>
    <x v="1"/>
  </r>
  <r>
    <n v="94"/>
    <x v="0"/>
    <x v="2"/>
    <n v="39.6"/>
    <n v="18.100000000000001"/>
    <n v="186"/>
    <n v="4450"/>
    <x v="0"/>
    <x v="1"/>
  </r>
  <r>
    <n v="95"/>
    <x v="0"/>
    <x v="2"/>
    <n v="36.200000000000003"/>
    <n v="17.3"/>
    <n v="187"/>
    <n v="3300"/>
    <x v="1"/>
    <x v="1"/>
  </r>
  <r>
    <n v="96"/>
    <x v="0"/>
    <x v="2"/>
    <n v="40.799999999999997"/>
    <n v="18.899999999999999"/>
    <n v="208"/>
    <n v="4300"/>
    <x v="0"/>
    <x v="1"/>
  </r>
  <r>
    <n v="97"/>
    <x v="0"/>
    <x v="2"/>
    <n v="38.1"/>
    <n v="18.600000000000001"/>
    <n v="190"/>
    <n v="3700"/>
    <x v="1"/>
    <x v="1"/>
  </r>
  <r>
    <n v="98"/>
    <x v="0"/>
    <x v="2"/>
    <n v="40.299999999999997"/>
    <n v="18.5"/>
    <n v="196"/>
    <n v="4350"/>
    <x v="0"/>
    <x v="1"/>
  </r>
  <r>
    <n v="99"/>
    <x v="0"/>
    <x v="2"/>
    <n v="33.1"/>
    <n v="16.100000000000001"/>
    <n v="178"/>
    <n v="2900"/>
    <x v="1"/>
    <x v="1"/>
  </r>
  <r>
    <n v="100"/>
    <x v="0"/>
    <x v="2"/>
    <n v="43.2"/>
    <n v="18.5"/>
    <n v="192"/>
    <n v="4100"/>
    <x v="0"/>
    <x v="1"/>
  </r>
  <r>
    <n v="101"/>
    <x v="0"/>
    <x v="1"/>
    <n v="35"/>
    <n v="17.899999999999999"/>
    <n v="192"/>
    <n v="3725"/>
    <x v="1"/>
    <x v="2"/>
  </r>
  <r>
    <n v="102"/>
    <x v="0"/>
    <x v="1"/>
    <n v="41"/>
    <n v="20"/>
    <n v="203"/>
    <n v="4725"/>
    <x v="0"/>
    <x v="2"/>
  </r>
  <r>
    <n v="103"/>
    <x v="0"/>
    <x v="1"/>
    <n v="37.700000000000003"/>
    <n v="16"/>
    <n v="183"/>
    <n v="3075"/>
    <x v="1"/>
    <x v="2"/>
  </r>
  <r>
    <n v="104"/>
    <x v="0"/>
    <x v="1"/>
    <n v="37.799999999999997"/>
    <n v="20"/>
    <n v="190"/>
    <n v="4250"/>
    <x v="0"/>
    <x v="2"/>
  </r>
  <r>
    <n v="105"/>
    <x v="0"/>
    <x v="1"/>
    <n v="37.9"/>
    <n v="18.600000000000001"/>
    <n v="193"/>
    <n v="2925"/>
    <x v="1"/>
    <x v="2"/>
  </r>
  <r>
    <n v="106"/>
    <x v="0"/>
    <x v="1"/>
    <n v="39.700000000000003"/>
    <n v="18.899999999999999"/>
    <n v="184"/>
    <n v="3550"/>
    <x v="0"/>
    <x v="2"/>
  </r>
  <r>
    <n v="107"/>
    <x v="0"/>
    <x v="1"/>
    <n v="38.6"/>
    <n v="17.2"/>
    <n v="199"/>
    <n v="3750"/>
    <x v="1"/>
    <x v="2"/>
  </r>
  <r>
    <n v="108"/>
    <x v="0"/>
    <x v="1"/>
    <n v="38.200000000000003"/>
    <n v="20"/>
    <n v="190"/>
    <n v="3900"/>
    <x v="0"/>
    <x v="2"/>
  </r>
  <r>
    <n v="109"/>
    <x v="0"/>
    <x v="1"/>
    <n v="38.1"/>
    <n v="17"/>
    <n v="181"/>
    <n v="3175"/>
    <x v="1"/>
    <x v="2"/>
  </r>
  <r>
    <n v="110"/>
    <x v="0"/>
    <x v="1"/>
    <n v="43.2"/>
    <n v="19"/>
    <n v="197"/>
    <n v="4775"/>
    <x v="0"/>
    <x v="2"/>
  </r>
  <r>
    <n v="111"/>
    <x v="0"/>
    <x v="1"/>
    <n v="38.1"/>
    <n v="16.5"/>
    <n v="198"/>
    <n v="3825"/>
    <x v="1"/>
    <x v="2"/>
  </r>
  <r>
    <n v="112"/>
    <x v="0"/>
    <x v="1"/>
    <n v="45.6"/>
    <n v="20.3"/>
    <n v="191"/>
    <n v="4600"/>
    <x v="0"/>
    <x v="2"/>
  </r>
  <r>
    <n v="113"/>
    <x v="0"/>
    <x v="1"/>
    <n v="39.700000000000003"/>
    <n v="17.7"/>
    <n v="193"/>
    <n v="3200"/>
    <x v="1"/>
    <x v="2"/>
  </r>
  <r>
    <n v="114"/>
    <x v="0"/>
    <x v="1"/>
    <n v="42.2"/>
    <n v="19.5"/>
    <n v="197"/>
    <n v="4275"/>
    <x v="0"/>
    <x v="2"/>
  </r>
  <r>
    <n v="115"/>
    <x v="0"/>
    <x v="1"/>
    <n v="39.6"/>
    <n v="20.7"/>
    <n v="191"/>
    <n v="3900"/>
    <x v="1"/>
    <x v="2"/>
  </r>
  <r>
    <n v="116"/>
    <x v="0"/>
    <x v="1"/>
    <n v="42.7"/>
    <n v="18.3"/>
    <n v="196"/>
    <n v="4075"/>
    <x v="0"/>
    <x v="2"/>
  </r>
  <r>
    <n v="117"/>
    <x v="0"/>
    <x v="0"/>
    <n v="38.6"/>
    <n v="17"/>
    <n v="188"/>
    <n v="2900"/>
    <x v="1"/>
    <x v="2"/>
  </r>
  <r>
    <n v="118"/>
    <x v="0"/>
    <x v="0"/>
    <n v="37.299999999999997"/>
    <n v="20.5"/>
    <n v="199"/>
    <n v="3775"/>
    <x v="0"/>
    <x v="2"/>
  </r>
  <r>
    <n v="119"/>
    <x v="0"/>
    <x v="0"/>
    <n v="35.700000000000003"/>
    <n v="17"/>
    <n v="189"/>
    <n v="3350"/>
    <x v="1"/>
    <x v="2"/>
  </r>
  <r>
    <n v="120"/>
    <x v="0"/>
    <x v="0"/>
    <n v="41.1"/>
    <n v="18.600000000000001"/>
    <n v="189"/>
    <n v="3325"/>
    <x v="0"/>
    <x v="2"/>
  </r>
  <r>
    <n v="121"/>
    <x v="0"/>
    <x v="0"/>
    <n v="36.200000000000003"/>
    <n v="17.2"/>
    <n v="187"/>
    <n v="3150"/>
    <x v="1"/>
    <x v="2"/>
  </r>
  <r>
    <n v="122"/>
    <x v="0"/>
    <x v="0"/>
    <n v="37.700000000000003"/>
    <n v="19.8"/>
    <n v="198"/>
    <n v="3500"/>
    <x v="0"/>
    <x v="2"/>
  </r>
  <r>
    <n v="123"/>
    <x v="0"/>
    <x v="0"/>
    <n v="40.200000000000003"/>
    <n v="17"/>
    <n v="176"/>
    <n v="3450"/>
    <x v="1"/>
    <x v="2"/>
  </r>
  <r>
    <n v="124"/>
    <x v="0"/>
    <x v="0"/>
    <n v="41.4"/>
    <n v="18.5"/>
    <n v="202"/>
    <n v="3875"/>
    <x v="0"/>
    <x v="2"/>
  </r>
  <r>
    <n v="125"/>
    <x v="0"/>
    <x v="0"/>
    <n v="35.200000000000003"/>
    <n v="15.9"/>
    <n v="186"/>
    <n v="3050"/>
    <x v="1"/>
    <x v="2"/>
  </r>
  <r>
    <n v="126"/>
    <x v="0"/>
    <x v="0"/>
    <n v="40.6"/>
    <n v="19"/>
    <n v="199"/>
    <n v="4000"/>
    <x v="0"/>
    <x v="2"/>
  </r>
  <r>
    <n v="127"/>
    <x v="0"/>
    <x v="0"/>
    <n v="38.799999999999997"/>
    <n v="17.600000000000001"/>
    <n v="191"/>
    <n v="3275"/>
    <x v="1"/>
    <x v="2"/>
  </r>
  <r>
    <n v="128"/>
    <x v="0"/>
    <x v="0"/>
    <n v="41.5"/>
    <n v="18.3"/>
    <n v="195"/>
    <n v="4300"/>
    <x v="0"/>
    <x v="2"/>
  </r>
  <r>
    <n v="129"/>
    <x v="0"/>
    <x v="0"/>
    <n v="39"/>
    <n v="17.100000000000001"/>
    <n v="191"/>
    <n v="3050"/>
    <x v="1"/>
    <x v="2"/>
  </r>
  <r>
    <n v="130"/>
    <x v="0"/>
    <x v="0"/>
    <n v="44.1"/>
    <n v="18"/>
    <n v="210"/>
    <n v="4000"/>
    <x v="0"/>
    <x v="2"/>
  </r>
  <r>
    <n v="131"/>
    <x v="0"/>
    <x v="0"/>
    <n v="38.5"/>
    <n v="17.899999999999999"/>
    <n v="190"/>
    <n v="3325"/>
    <x v="1"/>
    <x v="2"/>
  </r>
  <r>
    <n v="132"/>
    <x v="0"/>
    <x v="0"/>
    <n v="43.1"/>
    <n v="19.2"/>
    <n v="197"/>
    <n v="3500"/>
    <x v="0"/>
    <x v="2"/>
  </r>
  <r>
    <n v="133"/>
    <x v="0"/>
    <x v="2"/>
    <n v="36.799999999999997"/>
    <n v="18.5"/>
    <n v="193"/>
    <n v="3500"/>
    <x v="1"/>
    <x v="2"/>
  </r>
  <r>
    <n v="134"/>
    <x v="0"/>
    <x v="2"/>
    <n v="37.5"/>
    <n v="18.5"/>
    <n v="199"/>
    <n v="4475"/>
    <x v="0"/>
    <x v="2"/>
  </r>
  <r>
    <n v="135"/>
    <x v="0"/>
    <x v="2"/>
    <n v="38.1"/>
    <n v="17.600000000000001"/>
    <n v="187"/>
    <n v="3425"/>
    <x v="1"/>
    <x v="2"/>
  </r>
  <r>
    <n v="136"/>
    <x v="0"/>
    <x v="2"/>
    <n v="41.1"/>
    <n v="17.5"/>
    <n v="190"/>
    <n v="3900"/>
    <x v="0"/>
    <x v="2"/>
  </r>
  <r>
    <n v="137"/>
    <x v="0"/>
    <x v="2"/>
    <n v="35.6"/>
    <n v="17.5"/>
    <n v="191"/>
    <n v="3175"/>
    <x v="1"/>
    <x v="2"/>
  </r>
  <r>
    <n v="138"/>
    <x v="0"/>
    <x v="2"/>
    <n v="40.200000000000003"/>
    <n v="20.100000000000001"/>
    <n v="200"/>
    <n v="3975"/>
    <x v="0"/>
    <x v="2"/>
  </r>
  <r>
    <n v="139"/>
    <x v="0"/>
    <x v="2"/>
    <n v="37"/>
    <n v="16.5"/>
    <n v="185"/>
    <n v="3400"/>
    <x v="1"/>
    <x v="2"/>
  </r>
  <r>
    <n v="140"/>
    <x v="0"/>
    <x v="2"/>
    <n v="39.700000000000003"/>
    <n v="17.899999999999999"/>
    <n v="193"/>
    <n v="4250"/>
    <x v="0"/>
    <x v="2"/>
  </r>
  <r>
    <n v="141"/>
    <x v="0"/>
    <x v="2"/>
    <n v="40.200000000000003"/>
    <n v="17.100000000000001"/>
    <n v="193"/>
    <n v="3400"/>
    <x v="1"/>
    <x v="2"/>
  </r>
  <r>
    <n v="142"/>
    <x v="0"/>
    <x v="2"/>
    <n v="40.6"/>
    <n v="17.2"/>
    <n v="187"/>
    <n v="3475"/>
    <x v="0"/>
    <x v="2"/>
  </r>
  <r>
    <n v="143"/>
    <x v="0"/>
    <x v="2"/>
    <n v="32.1"/>
    <n v="15.5"/>
    <n v="188"/>
    <n v="3050"/>
    <x v="1"/>
    <x v="2"/>
  </r>
  <r>
    <n v="144"/>
    <x v="0"/>
    <x v="2"/>
    <n v="40.700000000000003"/>
    <n v="17"/>
    <n v="190"/>
    <n v="3725"/>
    <x v="0"/>
    <x v="2"/>
  </r>
  <r>
    <n v="145"/>
    <x v="0"/>
    <x v="2"/>
    <n v="37.299999999999997"/>
    <n v="16.8"/>
    <n v="192"/>
    <n v="3000"/>
    <x v="1"/>
    <x v="2"/>
  </r>
  <r>
    <n v="146"/>
    <x v="0"/>
    <x v="2"/>
    <n v="39"/>
    <n v="18.7"/>
    <n v="185"/>
    <n v="3650"/>
    <x v="0"/>
    <x v="2"/>
  </r>
  <r>
    <n v="147"/>
    <x v="0"/>
    <x v="2"/>
    <n v="39.200000000000003"/>
    <n v="18.600000000000001"/>
    <n v="190"/>
    <n v="4250"/>
    <x v="0"/>
    <x v="2"/>
  </r>
  <r>
    <n v="148"/>
    <x v="0"/>
    <x v="2"/>
    <n v="36.6"/>
    <n v="18.399999999999999"/>
    <n v="184"/>
    <n v="3475"/>
    <x v="1"/>
    <x v="2"/>
  </r>
  <r>
    <n v="149"/>
    <x v="0"/>
    <x v="2"/>
    <n v="36"/>
    <n v="17.8"/>
    <n v="195"/>
    <n v="3450"/>
    <x v="1"/>
    <x v="2"/>
  </r>
  <r>
    <n v="150"/>
    <x v="0"/>
    <x v="2"/>
    <n v="37.799999999999997"/>
    <n v="18.100000000000001"/>
    <n v="193"/>
    <n v="3750"/>
    <x v="0"/>
    <x v="2"/>
  </r>
  <r>
    <n v="151"/>
    <x v="0"/>
    <x v="2"/>
    <n v="36"/>
    <n v="17.100000000000001"/>
    <n v="187"/>
    <n v="3700"/>
    <x v="1"/>
    <x v="2"/>
  </r>
  <r>
    <n v="152"/>
    <x v="0"/>
    <x v="2"/>
    <n v="41.5"/>
    <n v="18.5"/>
    <n v="201"/>
    <n v="4000"/>
    <x v="0"/>
    <x v="2"/>
  </r>
  <r>
    <n v="153"/>
    <x v="1"/>
    <x v="1"/>
    <n v="46.1"/>
    <n v="13.2"/>
    <n v="211"/>
    <n v="4500"/>
    <x v="1"/>
    <x v="0"/>
  </r>
  <r>
    <n v="154"/>
    <x v="1"/>
    <x v="1"/>
    <n v="50"/>
    <n v="16.3"/>
    <n v="230"/>
    <n v="5700"/>
    <x v="0"/>
    <x v="0"/>
  </r>
  <r>
    <n v="155"/>
    <x v="1"/>
    <x v="1"/>
    <n v="48.7"/>
    <n v="14.1"/>
    <n v="210"/>
    <n v="4450"/>
    <x v="1"/>
    <x v="0"/>
  </r>
  <r>
    <n v="156"/>
    <x v="1"/>
    <x v="1"/>
    <n v="50"/>
    <n v="15.2"/>
    <n v="218"/>
    <n v="5700"/>
    <x v="0"/>
    <x v="0"/>
  </r>
  <r>
    <n v="157"/>
    <x v="1"/>
    <x v="1"/>
    <n v="47.6"/>
    <n v="14.5"/>
    <n v="215"/>
    <n v="5400"/>
    <x v="0"/>
    <x v="0"/>
  </r>
  <r>
    <n v="158"/>
    <x v="1"/>
    <x v="1"/>
    <n v="46.5"/>
    <n v="13.5"/>
    <n v="210"/>
    <n v="4550"/>
    <x v="1"/>
    <x v="0"/>
  </r>
  <r>
    <n v="159"/>
    <x v="1"/>
    <x v="1"/>
    <n v="45.4"/>
    <n v="14.6"/>
    <n v="211"/>
    <n v="4800"/>
    <x v="1"/>
    <x v="0"/>
  </r>
  <r>
    <n v="160"/>
    <x v="1"/>
    <x v="1"/>
    <n v="46.7"/>
    <n v="15.3"/>
    <n v="219"/>
    <n v="5200"/>
    <x v="0"/>
    <x v="0"/>
  </r>
  <r>
    <n v="161"/>
    <x v="1"/>
    <x v="1"/>
    <n v="43.3"/>
    <n v="13.4"/>
    <n v="209"/>
    <n v="4400"/>
    <x v="1"/>
    <x v="0"/>
  </r>
  <r>
    <n v="162"/>
    <x v="1"/>
    <x v="1"/>
    <n v="46.8"/>
    <n v="15.4"/>
    <n v="215"/>
    <n v="5150"/>
    <x v="0"/>
    <x v="0"/>
  </r>
  <r>
    <n v="163"/>
    <x v="1"/>
    <x v="1"/>
    <n v="40.9"/>
    <n v="13.7"/>
    <n v="214"/>
    <n v="4650"/>
    <x v="1"/>
    <x v="0"/>
  </r>
  <r>
    <n v="164"/>
    <x v="1"/>
    <x v="1"/>
    <n v="49"/>
    <n v="16.100000000000001"/>
    <n v="216"/>
    <n v="5550"/>
    <x v="0"/>
    <x v="0"/>
  </r>
  <r>
    <n v="165"/>
    <x v="1"/>
    <x v="1"/>
    <n v="45.5"/>
    <n v="13.7"/>
    <n v="214"/>
    <n v="4650"/>
    <x v="1"/>
    <x v="0"/>
  </r>
  <r>
    <n v="166"/>
    <x v="1"/>
    <x v="1"/>
    <n v="48.4"/>
    <n v="14.6"/>
    <n v="213"/>
    <n v="5850"/>
    <x v="0"/>
    <x v="0"/>
  </r>
  <r>
    <n v="167"/>
    <x v="1"/>
    <x v="1"/>
    <n v="45.8"/>
    <n v="14.6"/>
    <n v="210"/>
    <n v="4200"/>
    <x v="1"/>
    <x v="0"/>
  </r>
  <r>
    <n v="168"/>
    <x v="1"/>
    <x v="1"/>
    <n v="49.3"/>
    <n v="15.7"/>
    <n v="217"/>
    <n v="5850"/>
    <x v="0"/>
    <x v="0"/>
  </r>
  <r>
    <n v="169"/>
    <x v="1"/>
    <x v="1"/>
    <n v="42"/>
    <n v="13.5"/>
    <n v="210"/>
    <n v="4150"/>
    <x v="1"/>
    <x v="0"/>
  </r>
  <r>
    <n v="170"/>
    <x v="1"/>
    <x v="1"/>
    <n v="49.2"/>
    <n v="15.2"/>
    <n v="221"/>
    <n v="6300"/>
    <x v="0"/>
    <x v="0"/>
  </r>
  <r>
    <n v="171"/>
    <x v="1"/>
    <x v="1"/>
    <n v="46.2"/>
    <n v="14.5"/>
    <n v="209"/>
    <n v="4800"/>
    <x v="1"/>
    <x v="0"/>
  </r>
  <r>
    <n v="172"/>
    <x v="1"/>
    <x v="1"/>
    <n v="48.7"/>
    <n v="15.1"/>
    <n v="222"/>
    <n v="5350"/>
    <x v="0"/>
    <x v="0"/>
  </r>
  <r>
    <n v="173"/>
    <x v="1"/>
    <x v="1"/>
    <n v="50.2"/>
    <n v="14.3"/>
    <n v="218"/>
    <n v="5700"/>
    <x v="0"/>
    <x v="0"/>
  </r>
  <r>
    <n v="174"/>
    <x v="1"/>
    <x v="1"/>
    <n v="45.1"/>
    <n v="14.5"/>
    <n v="215"/>
    <n v="5000"/>
    <x v="1"/>
    <x v="0"/>
  </r>
  <r>
    <n v="175"/>
    <x v="1"/>
    <x v="1"/>
    <n v="46.5"/>
    <n v="14.5"/>
    <n v="213"/>
    <n v="4400"/>
    <x v="1"/>
    <x v="0"/>
  </r>
  <r>
    <n v="176"/>
    <x v="1"/>
    <x v="1"/>
    <n v="46.3"/>
    <n v="15.8"/>
    <n v="215"/>
    <n v="5050"/>
    <x v="0"/>
    <x v="0"/>
  </r>
  <r>
    <n v="177"/>
    <x v="1"/>
    <x v="1"/>
    <n v="42.9"/>
    <n v="13.1"/>
    <n v="215"/>
    <n v="5000"/>
    <x v="1"/>
    <x v="0"/>
  </r>
  <r>
    <n v="178"/>
    <x v="1"/>
    <x v="1"/>
    <n v="46.1"/>
    <n v="15.1"/>
    <n v="215"/>
    <n v="5100"/>
    <x v="0"/>
    <x v="0"/>
  </r>
  <r>
    <n v="180"/>
    <x v="1"/>
    <x v="1"/>
    <n v="47.8"/>
    <n v="15"/>
    <n v="215"/>
    <n v="5650"/>
    <x v="0"/>
    <x v="0"/>
  </r>
  <r>
    <n v="181"/>
    <x v="1"/>
    <x v="1"/>
    <n v="48.2"/>
    <n v="14.3"/>
    <n v="210"/>
    <n v="4600"/>
    <x v="1"/>
    <x v="0"/>
  </r>
  <r>
    <n v="182"/>
    <x v="1"/>
    <x v="1"/>
    <n v="50"/>
    <n v="15.3"/>
    <n v="220"/>
    <n v="5550"/>
    <x v="0"/>
    <x v="0"/>
  </r>
  <r>
    <n v="183"/>
    <x v="1"/>
    <x v="1"/>
    <n v="47.3"/>
    <n v="15.3"/>
    <n v="222"/>
    <n v="5250"/>
    <x v="0"/>
    <x v="0"/>
  </r>
  <r>
    <n v="184"/>
    <x v="1"/>
    <x v="1"/>
    <n v="42.8"/>
    <n v="14.2"/>
    <n v="209"/>
    <n v="4700"/>
    <x v="1"/>
    <x v="0"/>
  </r>
  <r>
    <n v="185"/>
    <x v="1"/>
    <x v="1"/>
    <n v="45.1"/>
    <n v="14.5"/>
    <n v="207"/>
    <n v="5050"/>
    <x v="1"/>
    <x v="0"/>
  </r>
  <r>
    <n v="186"/>
    <x v="1"/>
    <x v="1"/>
    <n v="59.6"/>
    <n v="17"/>
    <n v="230"/>
    <n v="6050"/>
    <x v="0"/>
    <x v="0"/>
  </r>
  <r>
    <n v="187"/>
    <x v="1"/>
    <x v="1"/>
    <n v="49.1"/>
    <n v="14.8"/>
    <n v="220"/>
    <n v="5150"/>
    <x v="1"/>
    <x v="1"/>
  </r>
  <r>
    <n v="188"/>
    <x v="1"/>
    <x v="1"/>
    <n v="48.4"/>
    <n v="16.3"/>
    <n v="220"/>
    <n v="5400"/>
    <x v="0"/>
    <x v="1"/>
  </r>
  <r>
    <n v="189"/>
    <x v="1"/>
    <x v="1"/>
    <n v="42.6"/>
    <n v="13.7"/>
    <n v="213"/>
    <n v="4950"/>
    <x v="1"/>
    <x v="1"/>
  </r>
  <r>
    <n v="190"/>
    <x v="1"/>
    <x v="1"/>
    <n v="44.4"/>
    <n v="17.3"/>
    <n v="219"/>
    <n v="5250"/>
    <x v="0"/>
    <x v="1"/>
  </r>
  <r>
    <n v="191"/>
    <x v="1"/>
    <x v="1"/>
    <n v="44"/>
    <n v="13.6"/>
    <n v="208"/>
    <n v="4350"/>
    <x v="1"/>
    <x v="1"/>
  </r>
  <r>
    <n v="192"/>
    <x v="1"/>
    <x v="1"/>
    <n v="48.7"/>
    <n v="15.7"/>
    <n v="208"/>
    <n v="5350"/>
    <x v="0"/>
    <x v="1"/>
  </r>
  <r>
    <n v="193"/>
    <x v="1"/>
    <x v="1"/>
    <n v="42.7"/>
    <n v="13.7"/>
    <n v="208"/>
    <n v="3950"/>
    <x v="1"/>
    <x v="1"/>
  </r>
  <r>
    <n v="194"/>
    <x v="1"/>
    <x v="1"/>
    <n v="49.6"/>
    <n v="16"/>
    <n v="225"/>
    <n v="5700"/>
    <x v="0"/>
    <x v="1"/>
  </r>
  <r>
    <n v="195"/>
    <x v="1"/>
    <x v="1"/>
    <n v="45.3"/>
    <n v="13.7"/>
    <n v="210"/>
    <n v="4300"/>
    <x v="1"/>
    <x v="1"/>
  </r>
  <r>
    <n v="196"/>
    <x v="1"/>
    <x v="1"/>
    <n v="49.6"/>
    <n v="15"/>
    <n v="216"/>
    <n v="4750"/>
    <x v="0"/>
    <x v="1"/>
  </r>
  <r>
    <n v="197"/>
    <x v="1"/>
    <x v="1"/>
    <n v="50.5"/>
    <n v="15.9"/>
    <n v="222"/>
    <n v="5550"/>
    <x v="0"/>
    <x v="1"/>
  </r>
  <r>
    <n v="198"/>
    <x v="1"/>
    <x v="1"/>
    <n v="43.6"/>
    <n v="13.9"/>
    <n v="217"/>
    <n v="4900"/>
    <x v="1"/>
    <x v="1"/>
  </r>
  <r>
    <n v="199"/>
    <x v="1"/>
    <x v="1"/>
    <n v="45.5"/>
    <n v="13.9"/>
    <n v="210"/>
    <n v="4200"/>
    <x v="1"/>
    <x v="1"/>
  </r>
  <r>
    <n v="200"/>
    <x v="1"/>
    <x v="1"/>
    <n v="50.5"/>
    <n v="15.9"/>
    <n v="225"/>
    <n v="5400"/>
    <x v="0"/>
    <x v="1"/>
  </r>
  <r>
    <n v="201"/>
    <x v="1"/>
    <x v="1"/>
    <n v="44.9"/>
    <n v="13.3"/>
    <n v="213"/>
    <n v="5100"/>
    <x v="1"/>
    <x v="1"/>
  </r>
  <r>
    <n v="202"/>
    <x v="1"/>
    <x v="1"/>
    <n v="45.2"/>
    <n v="15.8"/>
    <n v="215"/>
    <n v="5300"/>
    <x v="0"/>
    <x v="1"/>
  </r>
  <r>
    <n v="203"/>
    <x v="1"/>
    <x v="1"/>
    <n v="46.6"/>
    <n v="14.2"/>
    <n v="210"/>
    <n v="4850"/>
    <x v="1"/>
    <x v="1"/>
  </r>
  <r>
    <n v="204"/>
    <x v="1"/>
    <x v="1"/>
    <n v="48.5"/>
    <n v="14.1"/>
    <n v="220"/>
    <n v="5300"/>
    <x v="0"/>
    <x v="1"/>
  </r>
  <r>
    <n v="205"/>
    <x v="1"/>
    <x v="1"/>
    <n v="45.1"/>
    <n v="14.4"/>
    <n v="210"/>
    <n v="4400"/>
    <x v="1"/>
    <x v="1"/>
  </r>
  <r>
    <n v="206"/>
    <x v="1"/>
    <x v="1"/>
    <n v="50.1"/>
    <n v="15"/>
    <n v="225"/>
    <n v="5000"/>
    <x v="0"/>
    <x v="1"/>
  </r>
  <r>
    <n v="207"/>
    <x v="1"/>
    <x v="1"/>
    <n v="46.5"/>
    <n v="14.4"/>
    <n v="217"/>
    <n v="4900"/>
    <x v="1"/>
    <x v="1"/>
  </r>
  <r>
    <n v="208"/>
    <x v="1"/>
    <x v="1"/>
    <n v="45"/>
    <n v="15.4"/>
    <n v="220"/>
    <n v="5050"/>
    <x v="0"/>
    <x v="1"/>
  </r>
  <r>
    <n v="209"/>
    <x v="1"/>
    <x v="1"/>
    <n v="43.8"/>
    <n v="13.9"/>
    <n v="208"/>
    <n v="4300"/>
    <x v="1"/>
    <x v="1"/>
  </r>
  <r>
    <n v="210"/>
    <x v="1"/>
    <x v="1"/>
    <n v="45.5"/>
    <n v="15"/>
    <n v="220"/>
    <n v="5000"/>
    <x v="0"/>
    <x v="1"/>
  </r>
  <r>
    <n v="211"/>
    <x v="1"/>
    <x v="1"/>
    <n v="43.2"/>
    <n v="14.5"/>
    <n v="208"/>
    <n v="4450"/>
    <x v="1"/>
    <x v="1"/>
  </r>
  <r>
    <n v="212"/>
    <x v="1"/>
    <x v="1"/>
    <n v="50.4"/>
    <n v="15.3"/>
    <n v="224"/>
    <n v="5550"/>
    <x v="0"/>
    <x v="1"/>
  </r>
  <r>
    <n v="213"/>
    <x v="1"/>
    <x v="1"/>
    <n v="45.3"/>
    <n v="13.8"/>
    <n v="208"/>
    <n v="4200"/>
    <x v="1"/>
    <x v="1"/>
  </r>
  <r>
    <n v="214"/>
    <x v="1"/>
    <x v="1"/>
    <n v="46.2"/>
    <n v="14.9"/>
    <n v="221"/>
    <n v="5300"/>
    <x v="0"/>
    <x v="1"/>
  </r>
  <r>
    <n v="215"/>
    <x v="1"/>
    <x v="1"/>
    <n v="45.7"/>
    <n v="13.9"/>
    <n v="214"/>
    <n v="4400"/>
    <x v="1"/>
    <x v="1"/>
  </r>
  <r>
    <n v="216"/>
    <x v="1"/>
    <x v="1"/>
    <n v="54.3"/>
    <n v="15.7"/>
    <n v="231"/>
    <n v="5650"/>
    <x v="0"/>
    <x v="1"/>
  </r>
  <r>
    <n v="217"/>
    <x v="1"/>
    <x v="1"/>
    <n v="45.8"/>
    <n v="14.2"/>
    <n v="219"/>
    <n v="4700"/>
    <x v="1"/>
    <x v="1"/>
  </r>
  <r>
    <n v="218"/>
    <x v="1"/>
    <x v="1"/>
    <n v="49.8"/>
    <n v="16.8"/>
    <n v="230"/>
    <n v="5700"/>
    <x v="0"/>
    <x v="1"/>
  </r>
  <r>
    <n v="220"/>
    <x v="1"/>
    <x v="1"/>
    <n v="49.5"/>
    <n v="16.2"/>
    <n v="229"/>
    <n v="5800"/>
    <x v="0"/>
    <x v="1"/>
  </r>
  <r>
    <n v="221"/>
    <x v="1"/>
    <x v="1"/>
    <n v="43.5"/>
    <n v="14.2"/>
    <n v="220"/>
    <n v="4700"/>
    <x v="1"/>
    <x v="1"/>
  </r>
  <r>
    <n v="222"/>
    <x v="1"/>
    <x v="1"/>
    <n v="50.7"/>
    <n v="15"/>
    <n v="223"/>
    <n v="5550"/>
    <x v="0"/>
    <x v="1"/>
  </r>
  <r>
    <n v="223"/>
    <x v="1"/>
    <x v="1"/>
    <n v="47.7"/>
    <n v="15"/>
    <n v="216"/>
    <n v="4750"/>
    <x v="1"/>
    <x v="1"/>
  </r>
  <r>
    <n v="224"/>
    <x v="1"/>
    <x v="1"/>
    <n v="46.4"/>
    <n v="15.6"/>
    <n v="221"/>
    <n v="5000"/>
    <x v="0"/>
    <x v="1"/>
  </r>
  <r>
    <n v="225"/>
    <x v="1"/>
    <x v="1"/>
    <n v="48.2"/>
    <n v="15.6"/>
    <n v="221"/>
    <n v="5100"/>
    <x v="0"/>
    <x v="1"/>
  </r>
  <r>
    <n v="226"/>
    <x v="1"/>
    <x v="1"/>
    <n v="46.5"/>
    <n v="14.8"/>
    <n v="217"/>
    <n v="5200"/>
    <x v="1"/>
    <x v="1"/>
  </r>
  <r>
    <n v="227"/>
    <x v="1"/>
    <x v="1"/>
    <n v="46.4"/>
    <n v="15"/>
    <n v="216"/>
    <n v="4700"/>
    <x v="1"/>
    <x v="1"/>
  </r>
  <r>
    <n v="228"/>
    <x v="1"/>
    <x v="1"/>
    <n v="48.6"/>
    <n v="16"/>
    <n v="230"/>
    <n v="5800"/>
    <x v="0"/>
    <x v="1"/>
  </r>
  <r>
    <n v="229"/>
    <x v="1"/>
    <x v="1"/>
    <n v="47.5"/>
    <n v="14.2"/>
    <n v="209"/>
    <n v="4600"/>
    <x v="1"/>
    <x v="1"/>
  </r>
  <r>
    <n v="230"/>
    <x v="1"/>
    <x v="1"/>
    <n v="51.1"/>
    <n v="16.3"/>
    <n v="220"/>
    <n v="6000"/>
    <x v="0"/>
    <x v="1"/>
  </r>
  <r>
    <n v="231"/>
    <x v="1"/>
    <x v="1"/>
    <n v="45.2"/>
    <n v="13.8"/>
    <n v="215"/>
    <n v="4750"/>
    <x v="1"/>
    <x v="1"/>
  </r>
  <r>
    <n v="232"/>
    <x v="1"/>
    <x v="1"/>
    <n v="45.2"/>
    <n v="16.399999999999999"/>
    <n v="223"/>
    <n v="5950"/>
    <x v="0"/>
    <x v="1"/>
  </r>
  <r>
    <n v="233"/>
    <x v="1"/>
    <x v="1"/>
    <n v="49.1"/>
    <n v="14.5"/>
    <n v="212"/>
    <n v="4625"/>
    <x v="1"/>
    <x v="2"/>
  </r>
  <r>
    <n v="234"/>
    <x v="1"/>
    <x v="1"/>
    <n v="52.5"/>
    <n v="15.6"/>
    <n v="221"/>
    <n v="5450"/>
    <x v="0"/>
    <x v="2"/>
  </r>
  <r>
    <n v="235"/>
    <x v="1"/>
    <x v="1"/>
    <n v="47.4"/>
    <n v="14.6"/>
    <n v="212"/>
    <n v="4725"/>
    <x v="1"/>
    <x v="2"/>
  </r>
  <r>
    <n v="236"/>
    <x v="1"/>
    <x v="1"/>
    <n v="50"/>
    <n v="15.9"/>
    <n v="224"/>
    <n v="5350"/>
    <x v="0"/>
    <x v="2"/>
  </r>
  <r>
    <n v="237"/>
    <x v="1"/>
    <x v="1"/>
    <n v="44.9"/>
    <n v="13.8"/>
    <n v="212"/>
    <n v="4750"/>
    <x v="1"/>
    <x v="2"/>
  </r>
  <r>
    <n v="238"/>
    <x v="1"/>
    <x v="1"/>
    <n v="50.8"/>
    <n v="17.3"/>
    <n v="228"/>
    <n v="5600"/>
    <x v="0"/>
    <x v="2"/>
  </r>
  <r>
    <n v="239"/>
    <x v="1"/>
    <x v="1"/>
    <n v="43.4"/>
    <n v="14.4"/>
    <n v="218"/>
    <n v="4600"/>
    <x v="1"/>
    <x v="2"/>
  </r>
  <r>
    <n v="240"/>
    <x v="1"/>
    <x v="1"/>
    <n v="51.3"/>
    <n v="14.2"/>
    <n v="218"/>
    <n v="5300"/>
    <x v="0"/>
    <x v="2"/>
  </r>
  <r>
    <n v="241"/>
    <x v="1"/>
    <x v="1"/>
    <n v="47.5"/>
    <n v="14"/>
    <n v="212"/>
    <n v="4875"/>
    <x v="1"/>
    <x v="2"/>
  </r>
  <r>
    <n v="242"/>
    <x v="1"/>
    <x v="1"/>
    <n v="52.1"/>
    <n v="17"/>
    <n v="230"/>
    <n v="5550"/>
    <x v="0"/>
    <x v="2"/>
  </r>
  <r>
    <n v="243"/>
    <x v="1"/>
    <x v="1"/>
    <n v="47.5"/>
    <n v="15"/>
    <n v="218"/>
    <n v="4950"/>
    <x v="1"/>
    <x v="2"/>
  </r>
  <r>
    <n v="244"/>
    <x v="1"/>
    <x v="1"/>
    <n v="52.2"/>
    <n v="17.100000000000001"/>
    <n v="228"/>
    <n v="5400"/>
    <x v="0"/>
    <x v="2"/>
  </r>
  <r>
    <n v="245"/>
    <x v="1"/>
    <x v="1"/>
    <n v="45.5"/>
    <n v="14.5"/>
    <n v="212"/>
    <n v="4750"/>
    <x v="1"/>
    <x v="2"/>
  </r>
  <r>
    <n v="246"/>
    <x v="1"/>
    <x v="1"/>
    <n v="49.5"/>
    <n v="16.100000000000001"/>
    <n v="224"/>
    <n v="5650"/>
    <x v="0"/>
    <x v="2"/>
  </r>
  <r>
    <n v="247"/>
    <x v="1"/>
    <x v="1"/>
    <n v="44.5"/>
    <n v="14.7"/>
    <n v="214"/>
    <n v="4850"/>
    <x v="1"/>
    <x v="2"/>
  </r>
  <r>
    <n v="248"/>
    <x v="1"/>
    <x v="1"/>
    <n v="50.8"/>
    <n v="15.7"/>
    <n v="226"/>
    <n v="5200"/>
    <x v="0"/>
    <x v="2"/>
  </r>
  <r>
    <n v="249"/>
    <x v="1"/>
    <x v="1"/>
    <n v="49.4"/>
    <n v="15.8"/>
    <n v="216"/>
    <n v="4925"/>
    <x v="0"/>
    <x v="2"/>
  </r>
  <r>
    <n v="250"/>
    <x v="1"/>
    <x v="1"/>
    <n v="46.9"/>
    <n v="14.6"/>
    <n v="222"/>
    <n v="4875"/>
    <x v="1"/>
    <x v="2"/>
  </r>
  <r>
    <n v="251"/>
    <x v="1"/>
    <x v="1"/>
    <n v="48.4"/>
    <n v="14.4"/>
    <n v="203"/>
    <n v="4625"/>
    <x v="1"/>
    <x v="2"/>
  </r>
  <r>
    <n v="252"/>
    <x v="1"/>
    <x v="1"/>
    <n v="51.1"/>
    <n v="16.5"/>
    <n v="225"/>
    <n v="5250"/>
    <x v="0"/>
    <x v="2"/>
  </r>
  <r>
    <n v="253"/>
    <x v="1"/>
    <x v="1"/>
    <n v="48.5"/>
    <n v="15"/>
    <n v="219"/>
    <n v="4850"/>
    <x v="1"/>
    <x v="2"/>
  </r>
  <r>
    <n v="254"/>
    <x v="1"/>
    <x v="1"/>
    <n v="55.9"/>
    <n v="17"/>
    <n v="228"/>
    <n v="5600"/>
    <x v="0"/>
    <x v="2"/>
  </r>
  <r>
    <n v="255"/>
    <x v="1"/>
    <x v="1"/>
    <n v="47.2"/>
    <n v="15.5"/>
    <n v="215"/>
    <n v="4975"/>
    <x v="1"/>
    <x v="2"/>
  </r>
  <r>
    <n v="256"/>
    <x v="1"/>
    <x v="1"/>
    <n v="49.1"/>
    <n v="15"/>
    <n v="228"/>
    <n v="5500"/>
    <x v="0"/>
    <x v="2"/>
  </r>
  <r>
    <n v="258"/>
    <x v="1"/>
    <x v="1"/>
    <n v="46.8"/>
    <n v="16.100000000000001"/>
    <n v="215"/>
    <n v="5500"/>
    <x v="0"/>
    <x v="2"/>
  </r>
  <r>
    <n v="259"/>
    <x v="1"/>
    <x v="1"/>
    <n v="41.7"/>
    <n v="14.7"/>
    <n v="210"/>
    <n v="4700"/>
    <x v="1"/>
    <x v="2"/>
  </r>
  <r>
    <n v="260"/>
    <x v="1"/>
    <x v="1"/>
    <n v="53.4"/>
    <n v="15.8"/>
    <n v="219"/>
    <n v="5500"/>
    <x v="0"/>
    <x v="2"/>
  </r>
  <r>
    <n v="261"/>
    <x v="1"/>
    <x v="1"/>
    <n v="43.3"/>
    <n v="14"/>
    <n v="208"/>
    <n v="4575"/>
    <x v="1"/>
    <x v="2"/>
  </r>
  <r>
    <n v="262"/>
    <x v="1"/>
    <x v="1"/>
    <n v="48.1"/>
    <n v="15.1"/>
    <n v="209"/>
    <n v="5500"/>
    <x v="0"/>
    <x v="2"/>
  </r>
  <r>
    <n v="263"/>
    <x v="1"/>
    <x v="1"/>
    <n v="50.5"/>
    <n v="15.2"/>
    <n v="216"/>
    <n v="5000"/>
    <x v="1"/>
    <x v="2"/>
  </r>
  <r>
    <n v="264"/>
    <x v="1"/>
    <x v="1"/>
    <n v="49.8"/>
    <n v="15.9"/>
    <n v="229"/>
    <n v="5950"/>
    <x v="0"/>
    <x v="2"/>
  </r>
  <r>
    <n v="265"/>
    <x v="1"/>
    <x v="1"/>
    <n v="43.5"/>
    <n v="15.2"/>
    <n v="213"/>
    <n v="4650"/>
    <x v="1"/>
    <x v="2"/>
  </r>
  <r>
    <n v="266"/>
    <x v="1"/>
    <x v="1"/>
    <n v="51.5"/>
    <n v="16.3"/>
    <n v="230"/>
    <n v="5500"/>
    <x v="0"/>
    <x v="2"/>
  </r>
  <r>
    <n v="267"/>
    <x v="1"/>
    <x v="1"/>
    <n v="46.2"/>
    <n v="14.1"/>
    <n v="217"/>
    <n v="4375"/>
    <x v="1"/>
    <x v="2"/>
  </r>
  <r>
    <n v="268"/>
    <x v="1"/>
    <x v="1"/>
    <n v="55.1"/>
    <n v="16"/>
    <n v="230"/>
    <n v="5850"/>
    <x v="0"/>
    <x v="2"/>
  </r>
  <r>
    <n v="270"/>
    <x v="1"/>
    <x v="1"/>
    <n v="48.8"/>
    <n v="16.2"/>
    <n v="222"/>
    <n v="6000"/>
    <x v="0"/>
    <x v="2"/>
  </r>
  <r>
    <n v="271"/>
    <x v="1"/>
    <x v="1"/>
    <n v="47.2"/>
    <n v="13.7"/>
    <n v="214"/>
    <n v="4925"/>
    <x v="1"/>
    <x v="2"/>
  </r>
  <r>
    <n v="273"/>
    <x v="1"/>
    <x v="1"/>
    <n v="46.8"/>
    <n v="14.3"/>
    <n v="215"/>
    <n v="4850"/>
    <x v="1"/>
    <x v="2"/>
  </r>
  <r>
    <n v="274"/>
    <x v="1"/>
    <x v="1"/>
    <n v="50.4"/>
    <n v="15.7"/>
    <n v="222"/>
    <n v="5750"/>
    <x v="0"/>
    <x v="2"/>
  </r>
  <r>
    <n v="275"/>
    <x v="1"/>
    <x v="1"/>
    <n v="45.2"/>
    <n v="14.8"/>
    <n v="212"/>
    <n v="5200"/>
    <x v="1"/>
    <x v="2"/>
  </r>
  <r>
    <n v="276"/>
    <x v="1"/>
    <x v="1"/>
    <n v="49.9"/>
    <n v="16.100000000000001"/>
    <n v="213"/>
    <n v="5400"/>
    <x v="0"/>
    <x v="2"/>
  </r>
  <r>
    <n v="277"/>
    <x v="2"/>
    <x v="2"/>
    <n v="46.5"/>
    <n v="17.899999999999999"/>
    <n v="192"/>
    <n v="3500"/>
    <x v="1"/>
    <x v="0"/>
  </r>
  <r>
    <n v="278"/>
    <x v="2"/>
    <x v="2"/>
    <n v="50"/>
    <n v="19.5"/>
    <n v="196"/>
    <n v="3900"/>
    <x v="0"/>
    <x v="0"/>
  </r>
  <r>
    <n v="279"/>
    <x v="2"/>
    <x v="2"/>
    <n v="51.3"/>
    <n v="19.2"/>
    <n v="193"/>
    <n v="3650"/>
    <x v="0"/>
    <x v="0"/>
  </r>
  <r>
    <n v="280"/>
    <x v="2"/>
    <x v="2"/>
    <n v="45.4"/>
    <n v="18.7"/>
    <n v="188"/>
    <n v="3525"/>
    <x v="1"/>
    <x v="0"/>
  </r>
  <r>
    <n v="281"/>
    <x v="2"/>
    <x v="2"/>
    <n v="52.7"/>
    <n v="19.8"/>
    <n v="197"/>
    <n v="3725"/>
    <x v="0"/>
    <x v="0"/>
  </r>
  <r>
    <n v="282"/>
    <x v="2"/>
    <x v="2"/>
    <n v="45.2"/>
    <n v="17.8"/>
    <n v="198"/>
    <n v="3950"/>
    <x v="1"/>
    <x v="0"/>
  </r>
  <r>
    <n v="283"/>
    <x v="2"/>
    <x v="2"/>
    <n v="46.1"/>
    <n v="18.2"/>
    <n v="178"/>
    <n v="3250"/>
    <x v="1"/>
    <x v="0"/>
  </r>
  <r>
    <n v="284"/>
    <x v="2"/>
    <x v="2"/>
    <n v="51.3"/>
    <n v="18.2"/>
    <n v="197"/>
    <n v="3750"/>
    <x v="0"/>
    <x v="0"/>
  </r>
  <r>
    <n v="285"/>
    <x v="2"/>
    <x v="2"/>
    <n v="46"/>
    <n v="18.899999999999999"/>
    <n v="195"/>
    <n v="4150"/>
    <x v="1"/>
    <x v="0"/>
  </r>
  <r>
    <n v="286"/>
    <x v="2"/>
    <x v="2"/>
    <n v="51.3"/>
    <n v="19.899999999999999"/>
    <n v="198"/>
    <n v="3700"/>
    <x v="0"/>
    <x v="0"/>
  </r>
  <r>
    <n v="287"/>
    <x v="2"/>
    <x v="2"/>
    <n v="46.6"/>
    <n v="17.8"/>
    <n v="193"/>
    <n v="3800"/>
    <x v="1"/>
    <x v="0"/>
  </r>
  <r>
    <n v="288"/>
    <x v="2"/>
    <x v="2"/>
    <n v="51.7"/>
    <n v="20.3"/>
    <n v="194"/>
    <n v="3775"/>
    <x v="0"/>
    <x v="0"/>
  </r>
  <r>
    <n v="289"/>
    <x v="2"/>
    <x v="2"/>
    <n v="47"/>
    <n v="17.3"/>
    <n v="185"/>
    <n v="3700"/>
    <x v="1"/>
    <x v="0"/>
  </r>
  <r>
    <n v="290"/>
    <x v="2"/>
    <x v="2"/>
    <n v="52"/>
    <n v="18.100000000000001"/>
    <n v="201"/>
    <n v="4050"/>
    <x v="0"/>
    <x v="0"/>
  </r>
  <r>
    <n v="291"/>
    <x v="2"/>
    <x v="2"/>
    <n v="45.9"/>
    <n v="17.100000000000001"/>
    <n v="190"/>
    <n v="3575"/>
    <x v="1"/>
    <x v="0"/>
  </r>
  <r>
    <n v="292"/>
    <x v="2"/>
    <x v="2"/>
    <n v="50.5"/>
    <n v="19.600000000000001"/>
    <n v="201"/>
    <n v="4050"/>
    <x v="0"/>
    <x v="0"/>
  </r>
  <r>
    <n v="293"/>
    <x v="2"/>
    <x v="2"/>
    <n v="50.3"/>
    <n v="20"/>
    <n v="197"/>
    <n v="3300"/>
    <x v="0"/>
    <x v="0"/>
  </r>
  <r>
    <n v="294"/>
    <x v="2"/>
    <x v="2"/>
    <n v="58"/>
    <n v="17.8"/>
    <n v="181"/>
    <n v="3700"/>
    <x v="1"/>
    <x v="0"/>
  </r>
  <r>
    <n v="295"/>
    <x v="2"/>
    <x v="2"/>
    <n v="46.4"/>
    <n v="18.600000000000001"/>
    <n v="190"/>
    <n v="3450"/>
    <x v="1"/>
    <x v="0"/>
  </r>
  <r>
    <n v="296"/>
    <x v="2"/>
    <x v="2"/>
    <n v="49.2"/>
    <n v="18.2"/>
    <n v="195"/>
    <n v="4400"/>
    <x v="0"/>
    <x v="0"/>
  </r>
  <r>
    <n v="297"/>
    <x v="2"/>
    <x v="2"/>
    <n v="42.4"/>
    <n v="17.3"/>
    <n v="181"/>
    <n v="3600"/>
    <x v="1"/>
    <x v="0"/>
  </r>
  <r>
    <n v="298"/>
    <x v="2"/>
    <x v="2"/>
    <n v="48.5"/>
    <n v="17.5"/>
    <n v="191"/>
    <n v="3400"/>
    <x v="0"/>
    <x v="0"/>
  </r>
  <r>
    <n v="299"/>
    <x v="2"/>
    <x v="2"/>
    <n v="43.2"/>
    <n v="16.600000000000001"/>
    <n v="187"/>
    <n v="2900"/>
    <x v="1"/>
    <x v="0"/>
  </r>
  <r>
    <n v="300"/>
    <x v="2"/>
    <x v="2"/>
    <n v="50.6"/>
    <n v="19.399999999999999"/>
    <n v="193"/>
    <n v="3800"/>
    <x v="0"/>
    <x v="0"/>
  </r>
  <r>
    <n v="301"/>
    <x v="2"/>
    <x v="2"/>
    <n v="46.7"/>
    <n v="17.899999999999999"/>
    <n v="195"/>
    <n v="3300"/>
    <x v="1"/>
    <x v="0"/>
  </r>
  <r>
    <n v="302"/>
    <x v="2"/>
    <x v="2"/>
    <n v="52"/>
    <n v="19"/>
    <n v="197"/>
    <n v="4150"/>
    <x v="0"/>
    <x v="0"/>
  </r>
  <r>
    <n v="303"/>
    <x v="2"/>
    <x v="2"/>
    <n v="50.5"/>
    <n v="18.399999999999999"/>
    <n v="200"/>
    <n v="3400"/>
    <x v="1"/>
    <x v="1"/>
  </r>
  <r>
    <n v="304"/>
    <x v="2"/>
    <x v="2"/>
    <n v="49.5"/>
    <n v="19"/>
    <n v="200"/>
    <n v="3800"/>
    <x v="0"/>
    <x v="1"/>
  </r>
  <r>
    <n v="305"/>
    <x v="2"/>
    <x v="2"/>
    <n v="46.4"/>
    <n v="17.8"/>
    <n v="191"/>
    <n v="3700"/>
    <x v="1"/>
    <x v="1"/>
  </r>
  <r>
    <n v="306"/>
    <x v="2"/>
    <x v="2"/>
    <n v="52.8"/>
    <n v="20"/>
    <n v="205"/>
    <n v="4550"/>
    <x v="0"/>
    <x v="1"/>
  </r>
  <r>
    <n v="307"/>
    <x v="2"/>
    <x v="2"/>
    <n v="40.9"/>
    <n v="16.600000000000001"/>
    <n v="187"/>
    <n v="3200"/>
    <x v="1"/>
    <x v="1"/>
  </r>
  <r>
    <n v="308"/>
    <x v="2"/>
    <x v="2"/>
    <n v="54.2"/>
    <n v="20.8"/>
    <n v="201"/>
    <n v="4300"/>
    <x v="0"/>
    <x v="1"/>
  </r>
  <r>
    <n v="309"/>
    <x v="2"/>
    <x v="2"/>
    <n v="42.5"/>
    <n v="16.7"/>
    <n v="187"/>
    <n v="3350"/>
    <x v="1"/>
    <x v="1"/>
  </r>
  <r>
    <n v="310"/>
    <x v="2"/>
    <x v="2"/>
    <n v="51"/>
    <n v="18.8"/>
    <n v="203"/>
    <n v="4100"/>
    <x v="0"/>
    <x v="1"/>
  </r>
  <r>
    <n v="311"/>
    <x v="2"/>
    <x v="2"/>
    <n v="49.7"/>
    <n v="18.600000000000001"/>
    <n v="195"/>
    <n v="3600"/>
    <x v="0"/>
    <x v="1"/>
  </r>
  <r>
    <n v="312"/>
    <x v="2"/>
    <x v="2"/>
    <n v="47.5"/>
    <n v="16.8"/>
    <n v="199"/>
    <n v="3900"/>
    <x v="1"/>
    <x v="1"/>
  </r>
  <r>
    <n v="313"/>
    <x v="2"/>
    <x v="2"/>
    <n v="47.6"/>
    <n v="18.3"/>
    <n v="195"/>
    <n v="3850"/>
    <x v="1"/>
    <x v="1"/>
  </r>
  <r>
    <n v="314"/>
    <x v="2"/>
    <x v="2"/>
    <n v="52"/>
    <n v="20.7"/>
    <n v="210"/>
    <n v="4800"/>
    <x v="0"/>
    <x v="1"/>
  </r>
  <r>
    <n v="315"/>
    <x v="2"/>
    <x v="2"/>
    <n v="46.9"/>
    <n v="16.600000000000001"/>
    <n v="192"/>
    <n v="2700"/>
    <x v="1"/>
    <x v="1"/>
  </r>
  <r>
    <n v="316"/>
    <x v="2"/>
    <x v="2"/>
    <n v="53.5"/>
    <n v="19.899999999999999"/>
    <n v="205"/>
    <n v="4500"/>
    <x v="0"/>
    <x v="1"/>
  </r>
  <r>
    <n v="317"/>
    <x v="2"/>
    <x v="2"/>
    <n v="49"/>
    <n v="19.5"/>
    <n v="210"/>
    <n v="3950"/>
    <x v="0"/>
    <x v="1"/>
  </r>
  <r>
    <n v="318"/>
    <x v="2"/>
    <x v="2"/>
    <n v="46.2"/>
    <n v="17.5"/>
    <n v="187"/>
    <n v="3650"/>
    <x v="1"/>
    <x v="1"/>
  </r>
  <r>
    <n v="319"/>
    <x v="2"/>
    <x v="2"/>
    <n v="50.9"/>
    <n v="19.100000000000001"/>
    <n v="196"/>
    <n v="3550"/>
    <x v="0"/>
    <x v="1"/>
  </r>
  <r>
    <n v="320"/>
    <x v="2"/>
    <x v="2"/>
    <n v="45.5"/>
    <n v="17"/>
    <n v="196"/>
    <n v="3500"/>
    <x v="1"/>
    <x v="1"/>
  </r>
  <r>
    <n v="321"/>
    <x v="2"/>
    <x v="2"/>
    <n v="50.9"/>
    <n v="17.899999999999999"/>
    <n v="196"/>
    <n v="3675"/>
    <x v="1"/>
    <x v="2"/>
  </r>
  <r>
    <n v="322"/>
    <x v="2"/>
    <x v="2"/>
    <n v="50.8"/>
    <n v="18.5"/>
    <n v="201"/>
    <n v="4450"/>
    <x v="0"/>
    <x v="2"/>
  </r>
  <r>
    <n v="323"/>
    <x v="2"/>
    <x v="2"/>
    <n v="50.1"/>
    <n v="17.899999999999999"/>
    <n v="190"/>
    <n v="3400"/>
    <x v="1"/>
    <x v="2"/>
  </r>
  <r>
    <n v="324"/>
    <x v="2"/>
    <x v="2"/>
    <n v="49"/>
    <n v="19.600000000000001"/>
    <n v="212"/>
    <n v="4300"/>
    <x v="0"/>
    <x v="2"/>
  </r>
  <r>
    <n v="325"/>
    <x v="2"/>
    <x v="2"/>
    <n v="51.5"/>
    <n v="18.7"/>
    <n v="187"/>
    <n v="3250"/>
    <x v="0"/>
    <x v="2"/>
  </r>
  <r>
    <n v="326"/>
    <x v="2"/>
    <x v="2"/>
    <n v="49.8"/>
    <n v="17.3"/>
    <n v="198"/>
    <n v="3675"/>
    <x v="1"/>
    <x v="2"/>
  </r>
  <r>
    <n v="327"/>
    <x v="2"/>
    <x v="2"/>
    <n v="48.1"/>
    <n v="16.399999999999999"/>
    <n v="199"/>
    <n v="3325"/>
    <x v="1"/>
    <x v="2"/>
  </r>
  <r>
    <n v="328"/>
    <x v="2"/>
    <x v="2"/>
    <n v="51.4"/>
    <n v="19"/>
    <n v="201"/>
    <n v="3950"/>
    <x v="0"/>
    <x v="2"/>
  </r>
  <r>
    <n v="329"/>
    <x v="2"/>
    <x v="2"/>
    <n v="45.7"/>
    <n v="17.3"/>
    <n v="193"/>
    <n v="3600"/>
    <x v="1"/>
    <x v="2"/>
  </r>
  <r>
    <n v="330"/>
    <x v="2"/>
    <x v="2"/>
    <n v="50.7"/>
    <n v="19.7"/>
    <n v="203"/>
    <n v="4050"/>
    <x v="0"/>
    <x v="2"/>
  </r>
  <r>
    <n v="331"/>
    <x v="2"/>
    <x v="2"/>
    <n v="42.5"/>
    <n v="17.3"/>
    <n v="187"/>
    <n v="3350"/>
    <x v="1"/>
    <x v="2"/>
  </r>
  <r>
    <n v="332"/>
    <x v="2"/>
    <x v="2"/>
    <n v="52.2"/>
    <n v="18.8"/>
    <n v="197"/>
    <n v="3450"/>
    <x v="0"/>
    <x v="2"/>
  </r>
  <r>
    <n v="333"/>
    <x v="2"/>
    <x v="2"/>
    <n v="45.2"/>
    <n v="16.600000000000001"/>
    <n v="191"/>
    <n v="3250"/>
    <x v="1"/>
    <x v="2"/>
  </r>
  <r>
    <n v="334"/>
    <x v="2"/>
    <x v="2"/>
    <n v="49.3"/>
    <n v="19.899999999999999"/>
    <n v="203"/>
    <n v="4050"/>
    <x v="0"/>
    <x v="2"/>
  </r>
  <r>
    <n v="335"/>
    <x v="2"/>
    <x v="2"/>
    <n v="50.2"/>
    <n v="18.8"/>
    <n v="202"/>
    <n v="3800"/>
    <x v="0"/>
    <x v="2"/>
  </r>
  <r>
    <n v="336"/>
    <x v="2"/>
    <x v="2"/>
    <n v="45.6"/>
    <n v="19.399999999999999"/>
    <n v="194"/>
    <n v="3525"/>
    <x v="1"/>
    <x v="2"/>
  </r>
  <r>
    <n v="337"/>
    <x v="2"/>
    <x v="2"/>
    <n v="51.9"/>
    <n v="19.5"/>
    <n v="206"/>
    <n v="3950"/>
    <x v="0"/>
    <x v="2"/>
  </r>
  <r>
    <n v="338"/>
    <x v="2"/>
    <x v="2"/>
    <n v="46.8"/>
    <n v="16.5"/>
    <n v="189"/>
    <n v="3650"/>
    <x v="1"/>
    <x v="2"/>
  </r>
  <r>
    <n v="339"/>
    <x v="2"/>
    <x v="2"/>
    <n v="45.7"/>
    <n v="17"/>
    <n v="195"/>
    <n v="3650"/>
    <x v="1"/>
    <x v="2"/>
  </r>
  <r>
    <n v="340"/>
    <x v="2"/>
    <x v="2"/>
    <n v="55.8"/>
    <n v="19.8"/>
    <n v="207"/>
    <n v="4000"/>
    <x v="0"/>
    <x v="2"/>
  </r>
  <r>
    <n v="341"/>
    <x v="2"/>
    <x v="2"/>
    <n v="43.5"/>
    <n v="18.100000000000001"/>
    <n v="202"/>
    <n v="3400"/>
    <x v="1"/>
    <x v="2"/>
  </r>
  <r>
    <n v="342"/>
    <x v="2"/>
    <x v="2"/>
    <n v="49.6"/>
    <n v="18.2"/>
    <n v="193"/>
    <n v="3775"/>
    <x v="0"/>
    <x v="2"/>
  </r>
  <r>
    <n v="343"/>
    <x v="2"/>
    <x v="2"/>
    <n v="50.8"/>
    <n v="19"/>
    <n v="210"/>
    <n v="4100"/>
    <x v="0"/>
    <x v="2"/>
  </r>
  <r>
    <n v="344"/>
    <x v="2"/>
    <x v="2"/>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CA2E38-F480-4206-8F29-774E1E14562A}"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8" firstHeaderRow="1" firstDataRow="2" firstDataCol="1" rowPageCount="1" colPageCount="1"/>
  <pivotFields count="9">
    <pivotField showAll="0"/>
    <pivotField axis="axisRow" showAll="0">
      <items count="4">
        <item x="0"/>
        <item x="2"/>
        <item x="1"/>
        <item t="default"/>
      </items>
    </pivotField>
    <pivotField axis="axisPage" showAll="0">
      <items count="4">
        <item x="1"/>
        <item x="2"/>
        <item x="0"/>
        <item t="default"/>
      </items>
    </pivotField>
    <pivotField showAll="0"/>
    <pivotField showAll="0"/>
    <pivotField showAll="0"/>
    <pivotField dataField="1" showAll="0"/>
    <pivotField axis="axisCol" showAll="0">
      <items count="3">
        <item x="1"/>
        <item x="0"/>
        <item t="default"/>
      </items>
    </pivotField>
    <pivotField showAll="0">
      <items count="4">
        <item x="0"/>
        <item x="1"/>
        <item x="2"/>
        <item t="default"/>
      </items>
    </pivotField>
  </pivotFields>
  <rowFields count="1">
    <field x="1"/>
  </rowFields>
  <rowItems count="4">
    <i>
      <x/>
    </i>
    <i>
      <x v="1"/>
    </i>
    <i>
      <x v="2"/>
    </i>
    <i t="grand">
      <x/>
    </i>
  </rowItems>
  <colFields count="1">
    <field x="7"/>
  </colFields>
  <colItems count="3">
    <i>
      <x/>
    </i>
    <i>
      <x v="1"/>
    </i>
    <i t="grand">
      <x/>
    </i>
  </colItems>
  <pageFields count="1">
    <pageField fld="2" hier="-1"/>
  </pageFields>
  <dataFields count="1">
    <dataField name="Average of body_mass_g" fld="6" subtotal="average" baseField="1"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AD5699E-CF8F-495A-A32B-A83FA7E8C384}" sourceName="year">
  <pivotTables>
    <pivotTable tabId="7" name="PivotTable1"/>
  </pivotTables>
  <data>
    <tabular pivotCacheId="205130726">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9C389BB-BD39-41EF-B8EC-690A0B6C342F}" cache="Slicer_year" caption="year"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12" zoomScale="116" zoomScaleNormal="100" workbookViewId="0">
      <selection activeCell="A30" sqref="A30"/>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I15" sqref="I15"/>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5">
        <v>99.999999993333347</v>
      </c>
      <c r="D3" s="6">
        <v>200.00000000333335</v>
      </c>
      <c r="E3" s="7">
        <v>3.3333122928524972E-9</v>
      </c>
      <c r="F3" s="3"/>
      <c r="G3" s="4">
        <f>SUM(C3:E3)</f>
        <v>300</v>
      </c>
      <c r="H3" s="8" t="s">
        <v>74</v>
      </c>
      <c r="I3" s="9">
        <v>300</v>
      </c>
      <c r="J3" s="3"/>
      <c r="K3" s="3"/>
    </row>
    <row r="4" spans="1:11" x14ac:dyDescent="0.35">
      <c r="A4" s="3"/>
      <c r="B4" s="4" t="s">
        <v>75</v>
      </c>
      <c r="C4" s="10">
        <v>0</v>
      </c>
      <c r="D4" s="11">
        <v>0</v>
      </c>
      <c r="E4" s="12">
        <v>200</v>
      </c>
      <c r="F4" s="3"/>
      <c r="G4" s="4">
        <f>SUM(C4:E4)</f>
        <v>200</v>
      </c>
      <c r="H4" s="8" t="s">
        <v>74</v>
      </c>
      <c r="I4" s="13">
        <v>200</v>
      </c>
      <c r="J4" s="3"/>
      <c r="K4" s="3"/>
    </row>
    <row r="5" spans="1:11" x14ac:dyDescent="0.35">
      <c r="A5" s="3"/>
      <c r="B5" s="4" t="s">
        <v>76</v>
      </c>
      <c r="C5" s="14">
        <v>100</v>
      </c>
      <c r="D5" s="15">
        <v>0</v>
      </c>
      <c r="E5" s="16">
        <v>0</v>
      </c>
      <c r="F5" s="3"/>
      <c r="G5" s="4">
        <f>SUM(C5:E5)</f>
        <v>100</v>
      </c>
      <c r="H5" s="8" t="s">
        <v>74</v>
      </c>
      <c r="I5" s="17">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8">
        <v>60</v>
      </c>
      <c r="D8" s="19">
        <v>47</v>
      </c>
      <c r="E8" s="20">
        <v>80</v>
      </c>
      <c r="F8" s="3"/>
      <c r="G8" s="3"/>
      <c r="H8" s="3"/>
      <c r="I8" s="3"/>
      <c r="J8" s="3"/>
      <c r="K8" s="3"/>
    </row>
    <row r="9" spans="1:11" x14ac:dyDescent="0.35">
      <c r="A9" s="3"/>
      <c r="B9" s="4" t="s">
        <v>75</v>
      </c>
      <c r="C9" s="21">
        <v>52</v>
      </c>
      <c r="D9" s="22">
        <v>36</v>
      </c>
      <c r="E9" s="23">
        <v>58</v>
      </c>
      <c r="F9" s="3"/>
      <c r="G9" s="3"/>
      <c r="H9" s="3"/>
      <c r="I9" s="3"/>
      <c r="J9" s="3"/>
      <c r="K9" s="3"/>
    </row>
    <row r="10" spans="1:11" x14ac:dyDescent="0.35">
      <c r="A10" s="3"/>
      <c r="B10" s="4" t="s">
        <v>76</v>
      </c>
      <c r="C10" s="24">
        <v>24</v>
      </c>
      <c r="D10" s="25">
        <v>31</v>
      </c>
      <c r="E10" s="26">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8" t="s">
        <v>74</v>
      </c>
      <c r="D14" s="8" t="s">
        <v>74</v>
      </c>
      <c r="E14" s="8" t="s">
        <v>74</v>
      </c>
      <c r="F14" s="3"/>
      <c r="G14" s="3"/>
      <c r="H14" s="3"/>
      <c r="I14" s="4" t="s">
        <v>79</v>
      </c>
      <c r="J14" s="3"/>
      <c r="K14" s="3"/>
    </row>
    <row r="15" spans="1:11" x14ac:dyDescent="0.35">
      <c r="A15" s="3"/>
      <c r="B15" s="4" t="s">
        <v>80</v>
      </c>
      <c r="C15" s="27">
        <v>200</v>
      </c>
      <c r="D15" s="28">
        <v>200</v>
      </c>
      <c r="E15" s="29">
        <v>200</v>
      </c>
      <c r="F15" s="3"/>
      <c r="G15" s="3"/>
      <c r="H15" s="3"/>
      <c r="I15" s="30">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tabSelected="1" workbookViewId="0">
      <selection activeCell="C3" sqref="C3"/>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20</v>
      </c>
    </row>
    <row r="4" spans="2:3" ht="15" thickBot="1" x14ac:dyDescent="0.4">
      <c r="B4" s="31" t="s">
        <v>87</v>
      </c>
      <c r="C4" s="31">
        <f>C3*C2</f>
        <v>400</v>
      </c>
    </row>
    <row r="6" spans="2:3" x14ac:dyDescent="0.35">
      <c r="B6" t="s">
        <v>88</v>
      </c>
      <c r="C6">
        <v>50</v>
      </c>
    </row>
    <row r="7" spans="2:3" ht="15" thickBot="1" x14ac:dyDescent="0.4">
      <c r="B7" t="s">
        <v>89</v>
      </c>
      <c r="C7">
        <v>1.2</v>
      </c>
    </row>
    <row r="8" spans="2:3" ht="15" thickBot="1" x14ac:dyDescent="0.4">
      <c r="B8" s="31" t="s">
        <v>87</v>
      </c>
      <c r="C8" s="31">
        <f>C7*C6</f>
        <v>60</v>
      </c>
    </row>
    <row r="9" spans="2:3" ht="15" thickBot="1" x14ac:dyDescent="0.4"/>
    <row r="10" spans="2:3" ht="15" thickBot="1" x14ac:dyDescent="0.4">
      <c r="B10" s="31" t="s">
        <v>90</v>
      </c>
      <c r="C10" s="31">
        <f>C4-C8</f>
        <v>340</v>
      </c>
    </row>
  </sheetData>
  <scenarios current="2" show="2">
    <scenario name="10km" locked="1" count="1" user="Pia Portillo De Muller" comment="Created by Pia Portillo De Muller on 18/09/2025">
      <inputCells r="C3" val="10"/>
    </scenario>
    <scenario name="15km" locked="1" count="1" user="Pia Portillo De Muller" comment="Created by Pia Portillo De Muller on 18/09/2025">
      <inputCells r="C3" val="15"/>
    </scenario>
    <scenario name="20km" locked="1" count="1" user="Pia Portillo De Muller" comment="Created by Pia Portillo De Muller on 18/09/2025">
      <inputCells r="C3" val="20"/>
    </scenario>
  </scenario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ADC4-F947-4402-A2A5-2DB64665C2E9}">
  <sheetPr codeName="Sheet6"/>
  <dimension ref="A1:D8"/>
  <sheetViews>
    <sheetView workbookViewId="0">
      <selection activeCell="F14" sqref="F14"/>
    </sheetView>
  </sheetViews>
  <sheetFormatPr defaultRowHeight="14.5" x14ac:dyDescent="0.35"/>
  <cols>
    <col min="1" max="1" width="21.81640625" bestFit="1" customWidth="1"/>
    <col min="2" max="2" width="15.26953125" bestFit="1" customWidth="1"/>
    <col min="3" max="4" width="11.81640625" bestFit="1" customWidth="1"/>
  </cols>
  <sheetData>
    <row r="1" spans="1:4" x14ac:dyDescent="0.35">
      <c r="A1" s="33" t="s">
        <v>45</v>
      </c>
      <c r="B1" t="s">
        <v>113</v>
      </c>
    </row>
    <row r="3" spans="1:4" x14ac:dyDescent="0.35">
      <c r="A3" s="33" t="s">
        <v>111</v>
      </c>
      <c r="B3" s="33" t="s">
        <v>112</v>
      </c>
    </row>
    <row r="4" spans="1:4" x14ac:dyDescent="0.35">
      <c r="A4" s="33" t="s">
        <v>109</v>
      </c>
      <c r="B4" t="s">
        <v>55</v>
      </c>
      <c r="C4" t="s">
        <v>54</v>
      </c>
      <c r="D4" t="s">
        <v>110</v>
      </c>
    </row>
    <row r="5" spans="1:4" x14ac:dyDescent="0.35">
      <c r="A5" s="34" t="s">
        <v>52</v>
      </c>
      <c r="B5" s="35">
        <v>3368.8356164383563</v>
      </c>
      <c r="C5" s="35">
        <v>4043.4931506849316</v>
      </c>
      <c r="D5" s="35">
        <v>3706.1643835616437</v>
      </c>
    </row>
    <row r="6" spans="1:4" x14ac:dyDescent="0.35">
      <c r="A6" s="34" t="s">
        <v>59</v>
      </c>
      <c r="B6" s="35">
        <v>3527.205882352941</v>
      </c>
      <c r="C6" s="35">
        <v>3938.9705882352941</v>
      </c>
      <c r="D6" s="35">
        <v>3733.0882352941176</v>
      </c>
    </row>
    <row r="7" spans="1:4" x14ac:dyDescent="0.35">
      <c r="A7" s="34" t="s">
        <v>58</v>
      </c>
      <c r="B7" s="35">
        <v>4679.7413793103451</v>
      </c>
      <c r="C7" s="35">
        <v>5484.8360655737706</v>
      </c>
      <c r="D7" s="35">
        <v>5092.4369747899163</v>
      </c>
    </row>
    <row r="8" spans="1:4" x14ac:dyDescent="0.35">
      <c r="A8" s="34" t="s">
        <v>110</v>
      </c>
      <c r="B8" s="35">
        <v>3862.2727272727275</v>
      </c>
      <c r="C8" s="35">
        <v>4545.6845238095239</v>
      </c>
      <c r="D8" s="35">
        <v>4207.0570570570571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workbookViewId="0">
      <selection sqref="A1:I334"/>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s="32" t="s">
        <v>43</v>
      </c>
      <c r="B1" s="32" t="s">
        <v>44</v>
      </c>
      <c r="C1" s="32" t="s">
        <v>45</v>
      </c>
      <c r="D1" s="32" t="s">
        <v>46</v>
      </c>
      <c r="E1" s="32" t="s">
        <v>47</v>
      </c>
      <c r="F1" s="32" t="s">
        <v>48</v>
      </c>
      <c r="G1" s="32" t="s">
        <v>49</v>
      </c>
      <c r="H1" s="32" t="s">
        <v>50</v>
      </c>
      <c r="I1" s="32" t="s">
        <v>51</v>
      </c>
    </row>
    <row r="2" spans="1:9" x14ac:dyDescent="0.35">
      <c r="A2">
        <v>1</v>
      </c>
      <c r="B2" t="s">
        <v>52</v>
      </c>
      <c r="C2" t="s">
        <v>53</v>
      </c>
      <c r="D2">
        <v>39.1</v>
      </c>
      <c r="E2">
        <v>18.7</v>
      </c>
      <c r="F2">
        <v>181</v>
      </c>
      <c r="G2">
        <v>3750</v>
      </c>
      <c r="H2" t="s">
        <v>54</v>
      </c>
      <c r="I2">
        <v>2007</v>
      </c>
    </row>
    <row r="3" spans="1:9" x14ac:dyDescent="0.35">
      <c r="A3">
        <v>2</v>
      </c>
      <c r="B3" t="s">
        <v>52</v>
      </c>
      <c r="C3" t="s">
        <v>53</v>
      </c>
      <c r="D3">
        <v>39.5</v>
      </c>
      <c r="E3">
        <v>17.399999999999999</v>
      </c>
      <c r="F3">
        <v>186</v>
      </c>
      <c r="G3">
        <v>3800</v>
      </c>
      <c r="H3" t="s">
        <v>55</v>
      </c>
      <c r="I3">
        <v>2007</v>
      </c>
    </row>
    <row r="4" spans="1:9" x14ac:dyDescent="0.35">
      <c r="A4">
        <v>3</v>
      </c>
      <c r="B4" t="s">
        <v>52</v>
      </c>
      <c r="C4" t="s">
        <v>53</v>
      </c>
      <c r="D4">
        <v>40.299999999999997</v>
      </c>
      <c r="E4">
        <v>18</v>
      </c>
      <c r="F4">
        <v>195</v>
      </c>
      <c r="G4">
        <v>3250</v>
      </c>
      <c r="H4" t="s">
        <v>55</v>
      </c>
      <c r="I4">
        <v>2007</v>
      </c>
    </row>
    <row r="5" spans="1:9" x14ac:dyDescent="0.35">
      <c r="A5">
        <v>5</v>
      </c>
      <c r="B5" t="s">
        <v>52</v>
      </c>
      <c r="C5" t="s">
        <v>53</v>
      </c>
      <c r="D5">
        <v>36.700000000000003</v>
      </c>
      <c r="E5">
        <v>19.3</v>
      </c>
      <c r="F5">
        <v>193</v>
      </c>
      <c r="G5">
        <v>3450</v>
      </c>
      <c r="H5" t="s">
        <v>55</v>
      </c>
      <c r="I5">
        <v>2007</v>
      </c>
    </row>
    <row r="6" spans="1:9" x14ac:dyDescent="0.35">
      <c r="A6">
        <v>6</v>
      </c>
      <c r="B6" t="s">
        <v>52</v>
      </c>
      <c r="C6" t="s">
        <v>53</v>
      </c>
      <c r="D6">
        <v>39.299999999999997</v>
      </c>
      <c r="E6">
        <v>20.6</v>
      </c>
      <c r="F6">
        <v>190</v>
      </c>
      <c r="G6">
        <v>3650</v>
      </c>
      <c r="H6" t="s">
        <v>54</v>
      </c>
      <c r="I6">
        <v>2007</v>
      </c>
    </row>
    <row r="7" spans="1:9" x14ac:dyDescent="0.35">
      <c r="A7">
        <v>7</v>
      </c>
      <c r="B7" t="s">
        <v>52</v>
      </c>
      <c r="C7" t="s">
        <v>53</v>
      </c>
      <c r="D7">
        <v>38.9</v>
      </c>
      <c r="E7">
        <v>17.8</v>
      </c>
      <c r="F7">
        <v>181</v>
      </c>
      <c r="G7">
        <v>3625</v>
      </c>
      <c r="H7" t="s">
        <v>55</v>
      </c>
      <c r="I7">
        <v>2007</v>
      </c>
    </row>
    <row r="8" spans="1:9" x14ac:dyDescent="0.35">
      <c r="A8">
        <v>8</v>
      </c>
      <c r="B8" t="s">
        <v>52</v>
      </c>
      <c r="C8" t="s">
        <v>53</v>
      </c>
      <c r="D8">
        <v>39.200000000000003</v>
      </c>
      <c r="E8">
        <v>19.600000000000001</v>
      </c>
      <c r="F8">
        <v>195</v>
      </c>
      <c r="G8">
        <v>4675</v>
      </c>
      <c r="H8" t="s">
        <v>54</v>
      </c>
      <c r="I8">
        <v>2007</v>
      </c>
    </row>
    <row r="9" spans="1:9" x14ac:dyDescent="0.35">
      <c r="A9">
        <v>13</v>
      </c>
      <c r="B9" t="s">
        <v>52</v>
      </c>
      <c r="C9" t="s">
        <v>53</v>
      </c>
      <c r="D9">
        <v>41.1</v>
      </c>
      <c r="E9">
        <v>17.600000000000001</v>
      </c>
      <c r="F9">
        <v>182</v>
      </c>
      <c r="G9">
        <v>3200</v>
      </c>
      <c r="H9" t="s">
        <v>55</v>
      </c>
      <c r="I9">
        <v>2007</v>
      </c>
    </row>
    <row r="10" spans="1:9" x14ac:dyDescent="0.35">
      <c r="A10">
        <v>14</v>
      </c>
      <c r="B10" t="s">
        <v>52</v>
      </c>
      <c r="C10" t="s">
        <v>53</v>
      </c>
      <c r="D10">
        <v>38.6</v>
      </c>
      <c r="E10">
        <v>21.2</v>
      </c>
      <c r="F10">
        <v>191</v>
      </c>
      <c r="G10">
        <v>3800</v>
      </c>
      <c r="H10" t="s">
        <v>54</v>
      </c>
      <c r="I10">
        <v>2007</v>
      </c>
    </row>
    <row r="11" spans="1:9" x14ac:dyDescent="0.35">
      <c r="A11">
        <v>15</v>
      </c>
      <c r="B11" t="s">
        <v>52</v>
      </c>
      <c r="C11" t="s">
        <v>53</v>
      </c>
      <c r="D11">
        <v>34.6</v>
      </c>
      <c r="E11">
        <v>21.1</v>
      </c>
      <c r="F11">
        <v>198</v>
      </c>
      <c r="G11">
        <v>4400</v>
      </c>
      <c r="H11" t="s">
        <v>54</v>
      </c>
      <c r="I11">
        <v>2007</v>
      </c>
    </row>
    <row r="12" spans="1:9" x14ac:dyDescent="0.35">
      <c r="A12">
        <v>16</v>
      </c>
      <c r="B12" t="s">
        <v>52</v>
      </c>
      <c r="C12" t="s">
        <v>53</v>
      </c>
      <c r="D12">
        <v>36.6</v>
      </c>
      <c r="E12">
        <v>17.8</v>
      </c>
      <c r="F12">
        <v>185</v>
      </c>
      <c r="G12">
        <v>3700</v>
      </c>
      <c r="H12" t="s">
        <v>55</v>
      </c>
      <c r="I12">
        <v>2007</v>
      </c>
    </row>
    <row r="13" spans="1:9" x14ac:dyDescent="0.35">
      <c r="A13">
        <v>17</v>
      </c>
      <c r="B13" t="s">
        <v>52</v>
      </c>
      <c r="C13" t="s">
        <v>53</v>
      </c>
      <c r="D13">
        <v>38.700000000000003</v>
      </c>
      <c r="E13">
        <v>19</v>
      </c>
      <c r="F13">
        <v>195</v>
      </c>
      <c r="G13">
        <v>3450</v>
      </c>
      <c r="H13" t="s">
        <v>55</v>
      </c>
      <c r="I13">
        <v>2007</v>
      </c>
    </row>
    <row r="14" spans="1:9" x14ac:dyDescent="0.35">
      <c r="A14">
        <v>18</v>
      </c>
      <c r="B14" t="s">
        <v>52</v>
      </c>
      <c r="C14" t="s">
        <v>53</v>
      </c>
      <c r="D14">
        <v>42.5</v>
      </c>
      <c r="E14">
        <v>20.7</v>
      </c>
      <c r="F14">
        <v>197</v>
      </c>
      <c r="G14">
        <v>4500</v>
      </c>
      <c r="H14" t="s">
        <v>54</v>
      </c>
      <c r="I14">
        <v>2007</v>
      </c>
    </row>
    <row r="15" spans="1:9" x14ac:dyDescent="0.35">
      <c r="A15">
        <v>19</v>
      </c>
      <c r="B15" t="s">
        <v>52</v>
      </c>
      <c r="C15" t="s">
        <v>53</v>
      </c>
      <c r="D15">
        <v>34.4</v>
      </c>
      <c r="E15">
        <v>18.399999999999999</v>
      </c>
      <c r="F15">
        <v>184</v>
      </c>
      <c r="G15">
        <v>3325</v>
      </c>
      <c r="H15" t="s">
        <v>55</v>
      </c>
      <c r="I15">
        <v>2007</v>
      </c>
    </row>
    <row r="16" spans="1:9"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zoomScale="55" zoomScaleNormal="55" workbookViewId="0">
      <selection activeCell="AB12" sqref="AB12"/>
    </sheetView>
  </sheetViews>
  <sheetFormatPr defaultRowHeight="14.5" x14ac:dyDescent="0.35"/>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mushrooms">
                <anchor moveWithCells="1">
                  <from>
                    <xdr:col>25</xdr:col>
                    <xdr:colOff>158750</xdr:colOff>
                    <xdr:row>1</xdr:row>
                    <xdr:rowOff>57150</xdr:rowOff>
                  </from>
                  <to>
                    <xdr:col>26</xdr:col>
                    <xdr:colOff>95250</xdr:colOff>
                    <xdr:row>3</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Exercises</vt:lpstr>
      <vt:lpstr>Solver data</vt:lpstr>
      <vt:lpstr>Scenario Manager</vt:lpstr>
      <vt:lpstr>Sheet1</vt:lpstr>
      <vt:lpstr>penguins</vt:lpstr>
      <vt:lpstr>Mushrooms</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Pia Portillo De Muller</cp:lastModifiedBy>
  <dcterms:created xsi:type="dcterms:W3CDTF">2015-06-05T18:17:20Z</dcterms:created>
  <dcterms:modified xsi:type="dcterms:W3CDTF">2025-09-18T13:24:52Z</dcterms:modified>
</cp:coreProperties>
</file>